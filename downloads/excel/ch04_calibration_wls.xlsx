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標準曲線迴歸" sheetId="2" state="visible" r:id="rId2"/>
    <sheet xmlns:r="http://schemas.openxmlformats.org/officeDocument/2006/relationships" name="WLS_1x2加權" sheetId="3" state="visible" r:id="rId3"/>
    <sheet xmlns:r="http://schemas.openxmlformats.org/officeDocument/2006/relationships" name="對照R答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0000"/>
    <numFmt numFmtId="167" formatCode="0.0000"/>
    <numFmt numFmtId="168" formatCode="0.00000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165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6" fontId="8" fillId="4" borderId="1" pivotButton="0" quotePrefix="0" xfId="0"/>
    <xf numFmtId="0" fontId="2" fillId="0" borderId="0" applyAlignment="1" pivotButton="0" quotePrefix="0" xfId="0">
      <alignment vertical="top" wrapText="1"/>
    </xf>
    <xf numFmtId="167" fontId="8" fillId="4" borderId="1" pivotButton="0" quotePrefix="0" xfId="0"/>
    <xf numFmtId="167" fontId="6" fillId="0" borderId="1" pivotButton="0" quotePrefix="0" xfId="0"/>
    <xf numFmtId="166" fontId="6" fillId="0" borderId="1" pivotButton="0" quotePrefix="0" xfId="0"/>
    <xf numFmtId="0" fontId="9" fillId="0" borderId="0" applyAlignment="1" pivotButton="0" quotePrefix="0" xfId="0">
      <alignment vertical="top" wrapText="1"/>
    </xf>
    <xf numFmtId="164" fontId="6" fillId="0" borderId="1" pivotButton="0" quotePrefix="0" xfId="0"/>
    <xf numFmtId="165" fontId="6" fillId="0" borderId="1" pivotButton="0" quotePrefix="0" xfId="0"/>
    <xf numFmtId="1" fontId="6" fillId="3" borderId="1" pivotButton="0" quotePrefix="0" xfId="0"/>
    <xf numFmtId="168" fontId="6" fillId="0" borderId="1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Ch4 標準曲線與線性迴歸：OLS 逐步計算與 1/x² 加權迴歸（WLS）</t>
        </is>
      </c>
    </row>
    <row r="2">
      <c r="A2" s="2" t="inlineStr">
        <is>
          <t>對應網頁：ch04.html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「標準曲線迴歸」工作表：鈉標準曲線 5 個濃度點（Nielsen 章末習題4 Group A），用 SLOPE/INTERCEPT/RSQ/STEYX 逐步算出 y=ax+b、r²、殘差標準誤，再把每一點的殘差算出來，最後反推一個未知樣品訊號的濃度。</t>
        </is>
      </c>
    </row>
    <row r="6">
      <c r="A6" s="4" t="inlineStr">
        <is>
          <t>「WLS_1x2加權」工作表：HPLC 咖啡因 5 個濃度（1~100 ppm）各測 3 次，示範當高濃度訊號的變異明顯比低濃度大（異方差）時，怎麼用 SUMPRODUCT 公式做 1/x² 加權最小平方法（WLS），並把 OLS 與 WLS 的斜率、截距、每一點回算濃度的相對誤差 %RE 並排比較。</t>
        </is>
      </c>
    </row>
    <row r="7">
      <c r="A7" s="3" t="inlineStr">
        <is>
          <t>怎麼用</t>
        </is>
      </c>
    </row>
    <row r="8">
      <c r="A8" s="4" t="inlineStr">
        <is>
          <t>1. 黃色是原始數據（濃度、訊號），其他都是活公式，C 欄印出公式原文對照。</t>
        </is>
      </c>
    </row>
    <row r="9">
      <c r="A9" s="4" t="inlineStr">
        <is>
          <t>2.「標準曲線迴歸」把 B15 的未知樣品訊號改一改，看反推濃度怎麼變；也可以改 A2:B6 的原始數據看整條線怎麼變。</t>
        </is>
      </c>
    </row>
    <row r="10">
      <c r="A10" s="4" t="inlineStr">
        <is>
          <t>3.「WLS_1x2加權」看『%RE 回算對照』表：OLS 在 1 ppm（最低濃度）那一列的 %RE 特別大，WLS 1/x² 那一列則小很多——這就是加權要解決的問題。</t>
        </is>
      </c>
    </row>
    <row r="11">
      <c r="A11" s="4" t="inlineStr">
        <is>
          <t>4.「對照R答案」工作表核對 Excel 算出來的與 R 的答案是否一致。</t>
        </is>
      </c>
    </row>
    <row r="12">
      <c r="A12" s="3" t="inlineStr">
        <is>
          <t>用 Excel 資料分析工具箱算迴歸（選用，適用於標準曲線）</t>
        </is>
      </c>
    </row>
    <row r="13">
      <c r="A13" s="4" t="inlineStr">
        <is>
          <t>啟用方式：檔案 → 選項 → 增益集 → 管理『Excel 增益集』→ 勾選『分析工具箱』→ 確定，『資料』分頁會多一個『資料分析』按鈕。</t>
        </is>
      </c>
    </row>
    <row r="14">
      <c r="A14" s="4" t="inlineStr">
        <is>
          <t>操作：點『資料分析』→ 選『迴歸』→『輸入Y範圍』框選訊號 y（例如 B2:B6）、『輸入X範圍』框選濃度 x（例如 A2:A6）→勾選『信賴度』95% → 指定輸出範圍 → 確定。</t>
        </is>
      </c>
    </row>
    <row r="15">
      <c r="A15" s="4" t="inlineStr">
        <is>
          <t>對照：輸出表『係數』欄的『截距』＝本活頁簿的 INTERCEPT／R 的 coef(fit)[1]；『X』那一列的係數＝SLOPE／coef(fit)[2]；『R 平方』＝ RSQ／summary(fit)$r.squared；『標準誤』（迴歸統計區塊的那個，不是係數旁的）＝ STEYX／summary(fit)$sigma；『殘差輸出』勾選後會多印一張逐點殘差表，對應本頁的殘差欄。</t>
        </is>
      </c>
    </row>
    <row r="16">
      <c r="A16" s="4" t="inlineStr">
        <is>
          <t>⚠️ 工具箱輸出是『靜態的』：改了 A、B 欄的數據，這張輸出表不會自動更新，要重新跑一次『資料分析』。本活頁簿「標準曲線迴歸」工作表全部用 SLOPE/INTERCEPT/RSQ/STEYX 公式，數據一改就自動重算。工具箱也沒有『加權迴歸』選項，1/x² 加權一定要靠「WLS_1x2加權」工作表的 SUMPRODUCT 公式或改用 R。</t>
        </is>
      </c>
    </row>
    <row r="17">
      <c r="A17" s="3" t="inlineStr">
        <is>
          <t>本章最重要的觀念</t>
        </is>
      </c>
    </row>
    <row r="18">
      <c r="A18" s="4" t="inlineStr">
        <is>
          <t>r／r² 只衡量『假設是直線時，貼得多好』，不能證明資料真的是直線——一定要看殘差圖，殘差應隨機散布在 0 附近，不能有彎曲趨勢。反推濃度一定是 x=(y−b)/a，不要把訊號直接代入 x 去算 y（方向弄反）。</t>
        </is>
      </c>
    </row>
    <row r="19">
      <c r="A19" s="4" t="inlineStr">
        <is>
          <t>『濃度範圍很寬』本身不是自動加權的理由，要先看：①各濃度重複的 SD 是否隨濃度一路變大；②OLS 殘差是否呈喇叭狀。選權重不能只看 r²（三個模型的 r² 幾乎一樣），要看低濃度端的回算 %RE 是否明顯改善。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濃度 x (ug/mL)</t>
        </is>
      </c>
      <c r="B1" s="5" t="inlineStr">
        <is>
          <t>訊號 y</t>
        </is>
      </c>
    </row>
    <row r="2">
      <c r="A2" s="6" t="n">
        <v>1</v>
      </c>
      <c r="B2" s="7" t="n">
        <v>0.05</v>
      </c>
    </row>
    <row r="3">
      <c r="A3" s="6" t="n">
        <v>3</v>
      </c>
      <c r="B3" s="7" t="n">
        <v>0.14</v>
      </c>
    </row>
    <row r="4">
      <c r="A4" s="6" t="n">
        <v>5</v>
      </c>
      <c r="B4" s="7" t="n">
        <v>0.242</v>
      </c>
    </row>
    <row r="5">
      <c r="A5" s="6" t="n">
        <v>10</v>
      </c>
      <c r="B5" s="7" t="n">
        <v>0.521</v>
      </c>
    </row>
    <row r="6">
      <c r="A6" s="6" t="n">
        <v>20</v>
      </c>
      <c r="B6" s="7" t="n">
        <v>0.998</v>
      </c>
    </row>
    <row r="8">
      <c r="A8" s="5" t="inlineStr">
        <is>
          <t>項目</t>
        </is>
      </c>
      <c r="B8" s="5" t="inlineStr">
        <is>
          <t>結果</t>
        </is>
      </c>
      <c r="C8" s="5" t="inlineStr">
        <is>
          <t>公式</t>
        </is>
      </c>
      <c r="D8" s="5" t="inlineStr">
        <is>
          <t>說明</t>
        </is>
      </c>
    </row>
    <row r="9">
      <c r="A9" s="8" t="inlineStr">
        <is>
          <t>n（標準品數）</t>
        </is>
      </c>
      <c r="B9" s="9">
        <f>COUNT(A2:A6)</f>
        <v/>
      </c>
      <c r="C9" s="10" t="inlineStr">
        <is>
          <t>'=COUNT(A2:A6)</t>
        </is>
      </c>
    </row>
    <row r="10">
      <c r="A10" s="11" t="inlineStr">
        <is>
          <t>斜率 a (SLOPE)</t>
        </is>
      </c>
      <c r="B10" s="12">
        <f>SLOPE(B2:B6,A2:A6)</f>
        <v/>
      </c>
      <c r="C10" s="10" t="inlineStr">
        <is>
          <t>'=SLOPE(B2:B6,A2:A6)</t>
        </is>
      </c>
      <c r="D10" s="13" t="inlineStr">
        <is>
          <t>靈敏度：訊號隨濃度增加的幅度</t>
        </is>
      </c>
    </row>
    <row r="11">
      <c r="A11" s="11" t="inlineStr">
        <is>
          <t>截距 b (INTERCEPT)</t>
        </is>
      </c>
      <c r="B11" s="12">
        <f>INTERCEPT(B2:B6,A2:A6)</f>
        <v/>
      </c>
      <c r="C11" s="10" t="inlineStr">
        <is>
          <t>'=INTERCEPT(B2:B6,A2:A6)</t>
        </is>
      </c>
      <c r="D11" s="13" t="inlineStr">
        <is>
          <t>濃度為0時的空白背景訊號</t>
        </is>
      </c>
    </row>
    <row r="12">
      <c r="A12" s="11" t="inlineStr">
        <is>
          <t>判定係數 r² (RSQ)</t>
        </is>
      </c>
      <c r="B12" s="14">
        <f>RSQ(B2:B6,A2:A6)</f>
        <v/>
      </c>
      <c r="C12" s="10" t="inlineStr">
        <is>
          <t>'=RSQ(B2:B6,A2:A6)</t>
        </is>
      </c>
      <c r="D12" s="13" t="inlineStr">
        <is>
          <t>y 的變異能被 x 解釋的比例</t>
        </is>
      </c>
    </row>
    <row r="13">
      <c r="A13" s="8" t="inlineStr">
        <is>
          <t>相關係數 r (CORREL)</t>
        </is>
      </c>
      <c r="B13" s="15">
        <f>CORREL(A2:A6,B2:B6)</f>
        <v/>
      </c>
      <c r="C13" s="10" t="inlineStr">
        <is>
          <t>'=CORREL(A2:A6,B2:B6)</t>
        </is>
      </c>
      <c r="D13" s="13" t="inlineStr">
        <is>
          <t>r=√r²；經驗法則 r≥0.997 才理想</t>
        </is>
      </c>
    </row>
    <row r="14">
      <c r="A14" s="8" t="inlineStr">
        <is>
          <t>殘差標準誤 STEYX</t>
        </is>
      </c>
      <c r="B14" s="16">
        <f>STEYX(B2:B6,A2:A6)</f>
        <v/>
      </c>
      <c r="C14" s="10" t="inlineStr">
        <is>
          <t>'=STEYX(B2:B6,A2:A6)</t>
        </is>
      </c>
      <c r="D14" s="13" t="inlineStr">
        <is>
          <t>殘差的標準差，越小代表點越貼線</t>
        </is>
      </c>
    </row>
    <row r="15">
      <c r="A15" s="8" t="inlineStr">
        <is>
          <t>未知樣品訊號 y_obs</t>
        </is>
      </c>
      <c r="B15" s="7" t="n">
        <v>0.555</v>
      </c>
      <c r="D15" s="13" t="inlineStr">
        <is>
          <t>可以改成你自己的訊號值試試</t>
        </is>
      </c>
    </row>
    <row r="16">
      <c r="A16" s="11" t="inlineStr">
        <is>
          <t>反推濃度 x_pred</t>
        </is>
      </c>
      <c r="B16" s="14">
        <f>(B15-B11)/B10</f>
        <v/>
      </c>
      <c r="C16" s="10" t="inlineStr">
        <is>
          <t>'=(B15-B11)/B10</t>
        </is>
      </c>
      <c r="D16" s="13" t="inlineStr">
        <is>
          <t>x=(y−b)/a；千萬別把方向弄反！</t>
        </is>
      </c>
    </row>
    <row r="18">
      <c r="A18" s="17" t="inlineStr">
        <is>
          <t>殘差表：逐點檢查『直線』這個假設站不站得住腳（應隨機散布在 0 附近，不能有彎曲趨勢）。</t>
        </is>
      </c>
    </row>
    <row r="19">
      <c r="A19" s="5" t="inlineStr">
        <is>
          <t>x</t>
        </is>
      </c>
      <c r="B19" s="5" t="inlineStr">
        <is>
          <t>y實測</t>
        </is>
      </c>
      <c r="C19" s="5" t="inlineStr">
        <is>
          <t>y預測 (=a·x+b)</t>
        </is>
      </c>
      <c r="D19" s="5" t="inlineStr">
        <is>
          <t>殘差 (=y實測−y預測)</t>
        </is>
      </c>
    </row>
    <row r="20">
      <c r="A20" s="18">
        <f>A2</f>
        <v/>
      </c>
      <c r="B20" s="19">
        <f>B2</f>
        <v/>
      </c>
      <c r="C20" s="15">
        <f>B10*A20+B11</f>
        <v/>
      </c>
      <c r="D20" s="15">
        <f>B20-C20</f>
        <v/>
      </c>
    </row>
    <row r="21">
      <c r="A21" s="18">
        <f>A3</f>
        <v/>
      </c>
      <c r="B21" s="19">
        <f>B3</f>
        <v/>
      </c>
      <c r="C21" s="15">
        <f>B10*A21+B11</f>
        <v/>
      </c>
      <c r="D21" s="15">
        <f>B21-C21</f>
        <v/>
      </c>
    </row>
    <row r="22">
      <c r="A22" s="18">
        <f>A4</f>
        <v/>
      </c>
      <c r="B22" s="19">
        <f>B4</f>
        <v/>
      </c>
      <c r="C22" s="15">
        <f>B10*A22+B11</f>
        <v/>
      </c>
      <c r="D22" s="15">
        <f>B22-C22</f>
        <v/>
      </c>
    </row>
    <row r="23">
      <c r="A23" s="18">
        <f>A5</f>
        <v/>
      </c>
      <c r="B23" s="19">
        <f>B5</f>
        <v/>
      </c>
      <c r="C23" s="15">
        <f>B10*A23+B11</f>
        <v/>
      </c>
      <c r="D23" s="15">
        <f>B23-C23</f>
        <v/>
      </c>
    </row>
    <row r="24">
      <c r="A24" s="18">
        <f>A6</f>
        <v/>
      </c>
      <c r="B24" s="19">
        <f>B6</f>
        <v/>
      </c>
      <c r="C24" s="15">
        <f>B10*A24+B11</f>
        <v/>
      </c>
      <c r="D24" s="15">
        <f>B24-C24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5" t="inlineStr">
        <is>
          <t>濃度 x (ppm)</t>
        </is>
      </c>
      <c r="B1" s="5" t="inlineStr">
        <is>
          <t>面積 y (訊號)</t>
        </is>
      </c>
    </row>
    <row r="2">
      <c r="A2" s="20" t="n">
        <v>1</v>
      </c>
      <c r="B2" s="20" t="n">
        <v>101</v>
      </c>
    </row>
    <row r="3">
      <c r="A3" s="20" t="n">
        <v>1</v>
      </c>
      <c r="B3" s="20" t="n">
        <v>99</v>
      </c>
    </row>
    <row r="4">
      <c r="A4" s="20" t="n">
        <v>1</v>
      </c>
      <c r="B4" s="20" t="n">
        <v>102</v>
      </c>
    </row>
    <row r="5">
      <c r="A5" s="20" t="n">
        <v>5</v>
      </c>
      <c r="B5" s="20" t="n">
        <v>498</v>
      </c>
    </row>
    <row r="6">
      <c r="A6" s="20" t="n">
        <v>5</v>
      </c>
      <c r="B6" s="20" t="n">
        <v>505</v>
      </c>
    </row>
    <row r="7">
      <c r="A7" s="20" t="n">
        <v>5</v>
      </c>
      <c r="B7" s="20" t="n">
        <v>492</v>
      </c>
    </row>
    <row r="8">
      <c r="A8" s="20" t="n">
        <v>10</v>
      </c>
      <c r="B8" s="20" t="n">
        <v>1005</v>
      </c>
    </row>
    <row r="9">
      <c r="A9" s="20" t="n">
        <v>10</v>
      </c>
      <c r="B9" s="20" t="n">
        <v>992</v>
      </c>
    </row>
    <row r="10">
      <c r="A10" s="20" t="n">
        <v>10</v>
      </c>
      <c r="B10" s="20" t="n">
        <v>1018</v>
      </c>
    </row>
    <row r="11">
      <c r="A11" s="20" t="n">
        <v>50</v>
      </c>
      <c r="B11" s="20" t="n">
        <v>4930</v>
      </c>
    </row>
    <row r="12">
      <c r="A12" s="20" t="n">
        <v>50</v>
      </c>
      <c r="B12" s="20" t="n">
        <v>5070</v>
      </c>
    </row>
    <row r="13">
      <c r="A13" s="20" t="n">
        <v>50</v>
      </c>
      <c r="B13" s="20" t="n">
        <v>5005</v>
      </c>
    </row>
    <row r="14">
      <c r="A14" s="20" t="n">
        <v>100</v>
      </c>
      <c r="B14" s="20" t="n">
        <v>9720</v>
      </c>
    </row>
    <row r="15">
      <c r="A15" s="20" t="n">
        <v>100</v>
      </c>
      <c r="B15" s="20" t="n">
        <v>10380</v>
      </c>
    </row>
    <row r="16">
      <c r="A16" s="20" t="n">
        <v>100</v>
      </c>
      <c r="B16" s="20" t="n">
        <v>10040</v>
      </c>
    </row>
    <row r="18">
      <c r="A18" s="17" t="inlineStr">
        <is>
          <t>加權最小平方法：權重 w=1/x²，直接用 SUMPRODUCT 算出加權平方和，不需要陣列公式。</t>
        </is>
      </c>
    </row>
    <row r="19">
      <c r="A19" s="5" t="inlineStr">
        <is>
          <t>項目</t>
        </is>
      </c>
      <c r="B19" s="5" t="inlineStr">
        <is>
          <t>結果</t>
        </is>
      </c>
      <c r="C19" s="5" t="inlineStr">
        <is>
          <t>公式</t>
        </is>
      </c>
      <c r="D19" s="5" t="inlineStr">
        <is>
          <t>說明</t>
        </is>
      </c>
    </row>
    <row r="20">
      <c r="A20" s="8" t="inlineStr">
        <is>
          <t>Σw （w=1/x²）</t>
        </is>
      </c>
      <c r="B20" s="21">
        <f>SUMPRODUCT(1/A2:A16^2)</f>
        <v/>
      </c>
      <c r="C20" s="10" t="inlineStr">
        <is>
          <t>'=SUMPRODUCT(1/A2:A16^2)</t>
        </is>
      </c>
    </row>
    <row r="21">
      <c r="A21" s="8" t="inlineStr">
        <is>
          <t>Σw·x</t>
        </is>
      </c>
      <c r="B21" s="15">
        <f>SUMPRODUCT(1/A2:A16^2,A2:A16)</f>
        <v/>
      </c>
      <c r="C21" s="10" t="inlineStr">
        <is>
          <t>'=SUMPRODUCT(1/A2:A16^2,A2:A16)</t>
        </is>
      </c>
    </row>
    <row r="22">
      <c r="A22" s="8" t="inlineStr">
        <is>
          <t>Σw·y</t>
        </is>
      </c>
      <c r="B22" s="15">
        <f>SUMPRODUCT(1/A2:A16^2,B2:B16)</f>
        <v/>
      </c>
      <c r="C22" s="10" t="inlineStr">
        <is>
          <t>'=SUMPRODUCT(1/A2:A16^2,B2:B16)</t>
        </is>
      </c>
    </row>
    <row r="23">
      <c r="A23" s="8" t="inlineStr">
        <is>
          <t>Σw·x²</t>
        </is>
      </c>
      <c r="B23" s="15">
        <f>SUMPRODUCT(1/A2:A16^2,A2:A16,A2:A16)</f>
        <v/>
      </c>
      <c r="C23" s="10" t="inlineStr">
        <is>
          <t>'=SUMPRODUCT(1/A2:A16^2,A2:A16,A2:A16)</t>
        </is>
      </c>
    </row>
    <row r="24">
      <c r="A24" s="8" t="inlineStr">
        <is>
          <t>Σw·x·y</t>
        </is>
      </c>
      <c r="B24" s="15">
        <f>SUMPRODUCT(1/A2:A16^2,A2:A16,B2:B16)</f>
        <v/>
      </c>
      <c r="C24" s="10" t="inlineStr">
        <is>
          <t>'=SUMPRODUCT(1/A2:A16^2,A2:A16,B2:B16)</t>
        </is>
      </c>
    </row>
    <row r="25">
      <c r="A25" s="11" t="inlineStr">
        <is>
          <t>WLS 斜率 a_w</t>
        </is>
      </c>
      <c r="B25" s="14">
        <f>(B20*B24-B21*B22)/(B20*B23-B21^2)</f>
        <v/>
      </c>
      <c r="C25" s="10" t="inlineStr">
        <is>
          <t>'=(B20*B24-B21*B22)/(B20*B23-B21^2)</t>
        </is>
      </c>
      <c r="D25" s="13" t="inlineStr">
        <is>
          <t>加權常態方程式解出來的斜率</t>
        </is>
      </c>
    </row>
    <row r="26">
      <c r="A26" s="11" t="inlineStr">
        <is>
          <t>WLS 截距 b_w</t>
        </is>
      </c>
      <c r="B26" s="14">
        <f>(B22-B25*B21)/B20</f>
        <v/>
      </c>
      <c r="C26" s="10" t="inlineStr">
        <is>
          <t>'=(B22-B25*B21)/B20</t>
        </is>
      </c>
    </row>
    <row r="27">
      <c r="A27" s="8" t="inlineStr">
        <is>
          <t>OLS 斜率 a (SLOPE，對照用)</t>
        </is>
      </c>
      <c r="B27" s="15">
        <f>SLOPE(B2:B16,A2:A16)</f>
        <v/>
      </c>
      <c r="C27" s="10" t="inlineStr">
        <is>
          <t>'=SLOPE(B2:B16,A2:A16)</t>
        </is>
      </c>
    </row>
    <row r="28">
      <c r="A28" s="8" t="inlineStr">
        <is>
          <t>OLS 截距 b (INTERCEPT，對照用)</t>
        </is>
      </c>
      <c r="B28" s="15">
        <f>INTERCEPT(B2:B16,A2:A16)</f>
        <v/>
      </c>
      <c r="C28" s="10" t="inlineStr">
        <is>
          <t>'=INTERCEPT(B2:B16,A2:A16)</t>
        </is>
      </c>
    </row>
    <row r="30">
      <c r="A30" s="17" t="inlineStr">
        <is>
          <t>%RE 回算對照：把每一筆標準品的訊號當成『未知樣品』反推濃度，看回算的相對誤差 %RE。</t>
        </is>
      </c>
    </row>
    <row r="31">
      <c r="A31" s="5" t="inlineStr">
        <is>
          <t>濃度 x</t>
        </is>
      </c>
      <c r="B31" s="5" t="inlineStr">
        <is>
          <t>面積 y</t>
        </is>
      </c>
      <c r="C31" s="5" t="inlineStr">
        <is>
          <t>OLS回算濃度</t>
        </is>
      </c>
      <c r="D31" s="5" t="inlineStr">
        <is>
          <t>OLS %RE</t>
        </is>
      </c>
      <c r="E31" s="5" t="inlineStr">
        <is>
          <t>WLS回算濃度</t>
        </is>
      </c>
      <c r="F31" s="5" t="inlineStr">
        <is>
          <t>WLS %RE</t>
        </is>
      </c>
    </row>
    <row r="32">
      <c r="A32" s="9">
        <f>A2</f>
        <v/>
      </c>
      <c r="B32" s="9">
        <f>B2</f>
        <v/>
      </c>
      <c r="C32" s="15">
        <f>(B32-B28)/B27</f>
        <v/>
      </c>
      <c r="D32" s="15">
        <f>(C32-A32)/A32*100</f>
        <v/>
      </c>
      <c r="E32" s="15">
        <f>(B32-B26)/B25</f>
        <v/>
      </c>
      <c r="F32" s="15">
        <f>(E32-A32)/A32*100</f>
        <v/>
      </c>
    </row>
    <row r="33">
      <c r="A33" s="9">
        <f>A3</f>
        <v/>
      </c>
      <c r="B33" s="9">
        <f>B3</f>
        <v/>
      </c>
      <c r="C33" s="15">
        <f>(B33-B28)/B27</f>
        <v/>
      </c>
      <c r="D33" s="15">
        <f>(C33-A33)/A33*100</f>
        <v/>
      </c>
      <c r="E33" s="15">
        <f>(B33-B26)/B25</f>
        <v/>
      </c>
      <c r="F33" s="15">
        <f>(E33-A33)/A33*100</f>
        <v/>
      </c>
    </row>
    <row r="34">
      <c r="A34" s="9">
        <f>A4</f>
        <v/>
      </c>
      <c r="B34" s="9">
        <f>B4</f>
        <v/>
      </c>
      <c r="C34" s="15">
        <f>(B34-B28)/B27</f>
        <v/>
      </c>
      <c r="D34" s="15">
        <f>(C34-A34)/A34*100</f>
        <v/>
      </c>
      <c r="E34" s="15">
        <f>(B34-B26)/B25</f>
        <v/>
      </c>
      <c r="F34" s="15">
        <f>(E34-A34)/A34*100</f>
        <v/>
      </c>
    </row>
    <row r="35">
      <c r="A35" s="9">
        <f>A5</f>
        <v/>
      </c>
      <c r="B35" s="9">
        <f>B5</f>
        <v/>
      </c>
      <c r="C35" s="15">
        <f>(B35-B28)/B27</f>
        <v/>
      </c>
      <c r="D35" s="15">
        <f>(C35-A35)/A35*100</f>
        <v/>
      </c>
      <c r="E35" s="15">
        <f>(B35-B26)/B25</f>
        <v/>
      </c>
      <c r="F35" s="15">
        <f>(E35-A35)/A35*100</f>
        <v/>
      </c>
    </row>
    <row r="36">
      <c r="A36" s="9">
        <f>A6</f>
        <v/>
      </c>
      <c r="B36" s="9">
        <f>B6</f>
        <v/>
      </c>
      <c r="C36" s="15">
        <f>(B36-B28)/B27</f>
        <v/>
      </c>
      <c r="D36" s="15">
        <f>(C36-A36)/A36*100</f>
        <v/>
      </c>
      <c r="E36" s="15">
        <f>(B36-B26)/B25</f>
        <v/>
      </c>
      <c r="F36" s="15">
        <f>(E36-A36)/A36*100</f>
        <v/>
      </c>
    </row>
    <row r="37">
      <c r="A37" s="9">
        <f>A7</f>
        <v/>
      </c>
      <c r="B37" s="9">
        <f>B7</f>
        <v/>
      </c>
      <c r="C37" s="15">
        <f>(B37-B28)/B27</f>
        <v/>
      </c>
      <c r="D37" s="15">
        <f>(C37-A37)/A37*100</f>
        <v/>
      </c>
      <c r="E37" s="15">
        <f>(B37-B26)/B25</f>
        <v/>
      </c>
      <c r="F37" s="15">
        <f>(E37-A37)/A37*100</f>
        <v/>
      </c>
    </row>
    <row r="38">
      <c r="A38" s="9">
        <f>A8</f>
        <v/>
      </c>
      <c r="B38" s="9">
        <f>B8</f>
        <v/>
      </c>
      <c r="C38" s="15">
        <f>(B38-B28)/B27</f>
        <v/>
      </c>
      <c r="D38" s="15">
        <f>(C38-A38)/A38*100</f>
        <v/>
      </c>
      <c r="E38" s="15">
        <f>(B38-B26)/B25</f>
        <v/>
      </c>
      <c r="F38" s="15">
        <f>(E38-A38)/A38*100</f>
        <v/>
      </c>
    </row>
    <row r="39">
      <c r="A39" s="9">
        <f>A9</f>
        <v/>
      </c>
      <c r="B39" s="9">
        <f>B9</f>
        <v/>
      </c>
      <c r="C39" s="15">
        <f>(B39-B28)/B27</f>
        <v/>
      </c>
      <c r="D39" s="15">
        <f>(C39-A39)/A39*100</f>
        <v/>
      </c>
      <c r="E39" s="15">
        <f>(B39-B26)/B25</f>
        <v/>
      </c>
      <c r="F39" s="15">
        <f>(E39-A39)/A39*100</f>
        <v/>
      </c>
    </row>
    <row r="40">
      <c r="A40" s="9">
        <f>A10</f>
        <v/>
      </c>
      <c r="B40" s="9">
        <f>B10</f>
        <v/>
      </c>
      <c r="C40" s="15">
        <f>(B40-B28)/B27</f>
        <v/>
      </c>
      <c r="D40" s="15">
        <f>(C40-A40)/A40*100</f>
        <v/>
      </c>
      <c r="E40" s="15">
        <f>(B40-B26)/B25</f>
        <v/>
      </c>
      <c r="F40" s="15">
        <f>(E40-A40)/A40*100</f>
        <v/>
      </c>
    </row>
    <row r="41">
      <c r="A41" s="9">
        <f>A11</f>
        <v/>
      </c>
      <c r="B41" s="9">
        <f>B11</f>
        <v/>
      </c>
      <c r="C41" s="15">
        <f>(B41-B28)/B27</f>
        <v/>
      </c>
      <c r="D41" s="15">
        <f>(C41-A41)/A41*100</f>
        <v/>
      </c>
      <c r="E41" s="15">
        <f>(B41-B26)/B25</f>
        <v/>
      </c>
      <c r="F41" s="15">
        <f>(E41-A41)/A41*100</f>
        <v/>
      </c>
    </row>
    <row r="42">
      <c r="A42" s="9">
        <f>A12</f>
        <v/>
      </c>
      <c r="B42" s="9">
        <f>B12</f>
        <v/>
      </c>
      <c r="C42" s="15">
        <f>(B42-B28)/B27</f>
        <v/>
      </c>
      <c r="D42" s="15">
        <f>(C42-A42)/A42*100</f>
        <v/>
      </c>
      <c r="E42" s="15">
        <f>(B42-B26)/B25</f>
        <v/>
      </c>
      <c r="F42" s="15">
        <f>(E42-A42)/A42*100</f>
        <v/>
      </c>
    </row>
    <row r="43">
      <c r="A43" s="9">
        <f>A13</f>
        <v/>
      </c>
      <c r="B43" s="9">
        <f>B13</f>
        <v/>
      </c>
      <c r="C43" s="15">
        <f>(B43-B28)/B27</f>
        <v/>
      </c>
      <c r="D43" s="15">
        <f>(C43-A43)/A43*100</f>
        <v/>
      </c>
      <c r="E43" s="15">
        <f>(B43-B26)/B25</f>
        <v/>
      </c>
      <c r="F43" s="15">
        <f>(E43-A43)/A43*100</f>
        <v/>
      </c>
    </row>
    <row r="44">
      <c r="A44" s="9">
        <f>A14</f>
        <v/>
      </c>
      <c r="B44" s="9">
        <f>B14</f>
        <v/>
      </c>
      <c r="C44" s="15">
        <f>(B44-B28)/B27</f>
        <v/>
      </c>
      <c r="D44" s="15">
        <f>(C44-A44)/A44*100</f>
        <v/>
      </c>
      <c r="E44" s="15">
        <f>(B44-B26)/B25</f>
        <v/>
      </c>
      <c r="F44" s="15">
        <f>(E44-A44)/A44*100</f>
        <v/>
      </c>
    </row>
    <row r="45">
      <c r="A45" s="9">
        <f>A15</f>
        <v/>
      </c>
      <c r="B45" s="9">
        <f>B15</f>
        <v/>
      </c>
      <c r="C45" s="15">
        <f>(B45-B28)/B27</f>
        <v/>
      </c>
      <c r="D45" s="15">
        <f>(C45-A45)/A45*100</f>
        <v/>
      </c>
      <c r="E45" s="15">
        <f>(B45-B26)/B25</f>
        <v/>
      </c>
      <c r="F45" s="15">
        <f>(E45-A45)/A45*100</f>
        <v/>
      </c>
    </row>
    <row r="46">
      <c r="A46" s="9">
        <f>A16</f>
        <v/>
      </c>
      <c r="B46" s="9">
        <f>B16</f>
        <v/>
      </c>
      <c r="C46" s="15">
        <f>(B46-B28)/B27</f>
        <v/>
      </c>
      <c r="D46" s="15">
        <f>(C46-A46)/A46*100</f>
        <v/>
      </c>
      <c r="E46" s="15">
        <f>(B46-B26)/B25</f>
        <v/>
      </c>
      <c r="F46" s="15">
        <f>(E46-A46)/A46*100</f>
        <v/>
      </c>
    </row>
    <row r="48">
      <c r="A48" s="17" t="inlineStr">
        <is>
          <t>看第一列（1 ppm）：OLS 的 %RE 明顯比 WLS 1/x² 大很多——OLS 為了討好高濃度點，把低濃度端的反推誤差犧牲掉了。三個模型的 r² 幾乎一樣，看不出這個差別，選權重不能只看 r²。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8" t="inlineStr">
        <is>
          <t>標準曲線斜率 a</t>
        </is>
      </c>
      <c r="B2" s="22">
        <f>'標準曲線迴歸'!B10</f>
        <v/>
      </c>
      <c r="C2" s="22" t="n">
        <v>0.0503994800693241</v>
      </c>
      <c r="D2" s="23">
        <f>IF(ABS(B2-C2)&lt;=2.519974003466205e-05,"✓","✗")</f>
        <v/>
      </c>
      <c r="E2" s="24" t="inlineStr">
        <is>
          <t>'標準曲線迴歸'!B10</t>
        </is>
      </c>
    </row>
    <row r="3">
      <c r="A3" s="8" t="inlineStr">
        <is>
          <t>標準曲線截距 b</t>
        </is>
      </c>
      <c r="B3" s="22">
        <f>'標準曲線迴歸'!B11</f>
        <v/>
      </c>
      <c r="C3" s="22" t="n">
        <v>-0.00291594454072781</v>
      </c>
      <c r="D3" s="23">
        <f>IF(ABS(B3-C3)&lt;=1.4579722703639049e-06,"✓","✗")</f>
        <v/>
      </c>
      <c r="E3" s="24" t="inlineStr">
        <is>
          <t>'標準曲線迴歸'!B11</t>
        </is>
      </c>
    </row>
    <row r="4">
      <c r="A4" s="8" t="inlineStr">
        <is>
          <t>判定係數 r²</t>
        </is>
      </c>
      <c r="B4" s="22">
        <f>'標準曲線迴歸'!B12</f>
        <v/>
      </c>
      <c r="C4" s="22" t="n">
        <v>0.999025324016803</v>
      </c>
      <c r="D4" s="23">
        <f>IF(ABS(B4-C4)&lt;=0.0004995126620084015,"✓","✗")</f>
        <v/>
      </c>
      <c r="E4" s="24" t="inlineStr">
        <is>
          <t>'標準曲線迴歸'!B12</t>
        </is>
      </c>
    </row>
    <row r="5">
      <c r="A5" s="8" t="inlineStr">
        <is>
          <t>相關係數 r</t>
        </is>
      </c>
      <c r="B5" s="22">
        <f>'標準曲線迴歸'!B13</f>
        <v/>
      </c>
      <c r="C5" s="22" t="n">
        <v>0.999512543201336</v>
      </c>
      <c r="D5" s="23">
        <f>IF(ABS(B5-C5)&lt;=0.000499756271600668,"✓","✗")</f>
        <v/>
      </c>
      <c r="E5" s="24" t="inlineStr">
        <is>
          <t>'標準曲線迴歸'!B13</t>
        </is>
      </c>
    </row>
    <row r="6">
      <c r="A6" s="8" t="inlineStr">
        <is>
          <t>殘差標準誤 STEYX</t>
        </is>
      </c>
      <c r="B6" s="22">
        <f>'標準曲線迴歸'!B14</f>
        <v/>
      </c>
      <c r="C6" s="22" t="n">
        <v>0.013807823116001</v>
      </c>
      <c r="D6" s="23">
        <f>IF(ABS(B6-C6)&lt;=6.9039115580005005e-06,"✓","✗")</f>
        <v/>
      </c>
      <c r="E6" s="24" t="inlineStr">
        <is>
          <t>'標準曲線迴歸'!B14</t>
        </is>
      </c>
    </row>
    <row r="7">
      <c r="A7" s="8" t="inlineStr">
        <is>
          <t>反推濃度 x_pred (y=0.555)</t>
        </is>
      </c>
      <c r="B7" s="22">
        <f>'標準曲線迴歸'!B16</f>
        <v/>
      </c>
      <c r="C7" s="22" t="n">
        <v>11.0698750021492</v>
      </c>
      <c r="D7" s="23">
        <f>IF(ABS(B7-C7)&lt;=0.0055349375010745995,"✓","✗")</f>
        <v/>
      </c>
      <c r="E7" s="24" t="inlineStr">
        <is>
          <t>'標準曲線迴歸'!B16</t>
        </is>
      </c>
    </row>
    <row r="8">
      <c r="A8" s="8" t="inlineStr">
        <is>
          <t>第1點殘差</t>
        </is>
      </c>
      <c r="B8" s="22">
        <f>'標準曲線迴歸'!D20</f>
        <v/>
      </c>
      <c r="C8" s="22" t="n">
        <v>0.00251646447140376</v>
      </c>
      <c r="D8" s="23">
        <f>IF(ABS(B8-C8)&lt;=1e-06,"✓","✗")</f>
        <v/>
      </c>
      <c r="E8" s="24" t="inlineStr">
        <is>
          <t>'標準曲線迴歸'!D20</t>
        </is>
      </c>
    </row>
    <row r="9">
      <c r="A9" s="8" t="inlineStr">
        <is>
          <t>WLS 1/x² 斜率</t>
        </is>
      </c>
      <c r="B9" s="22">
        <f>'WLS_1x2加權'!B25</f>
        <v/>
      </c>
      <c r="C9" s="22" t="n">
        <v>100.151875454511</v>
      </c>
      <c r="D9" s="23">
        <f>IF(ABS(B9-C9)&lt;=0.0500759377272555,"✓","✗")</f>
        <v/>
      </c>
      <c r="E9" s="24" t="inlineStr">
        <is>
          <t>'WLS_1x2加權'!B25</t>
        </is>
      </c>
    </row>
    <row r="10">
      <c r="A10" s="8" t="inlineStr">
        <is>
          <t>WLS 1/x² 截距</t>
        </is>
      </c>
      <c r="B10" s="22">
        <f>'WLS_1x2加權'!B26</f>
        <v/>
      </c>
      <c r="C10" s="22" t="n">
        <v>0.431545910360954</v>
      </c>
      <c r="D10" s="23">
        <f>IF(ABS(B10-C10)&lt;=0.000215772955180477,"✓","✗")</f>
        <v/>
      </c>
      <c r="E10" s="24" t="inlineStr">
        <is>
          <t>'WLS_1x2加權'!B26</t>
        </is>
      </c>
    </row>
    <row r="11">
      <c r="A11" s="8" t="inlineStr">
        <is>
          <t>OLS 斜率（對照）</t>
        </is>
      </c>
      <c r="B11" s="22">
        <f>'WLS_1x2加權'!B27</f>
        <v/>
      </c>
      <c r="C11" s="22" t="n">
        <v>100.429367890407</v>
      </c>
      <c r="D11" s="23">
        <f>IF(ABS(B11-C11)&lt;=0.050214683945203495,"✓","✗")</f>
        <v/>
      </c>
      <c r="E11" s="24" t="inlineStr">
        <is>
          <t>'WLS_1x2加權'!B27</t>
        </is>
      </c>
    </row>
    <row r="12">
      <c r="A12" s="8" t="inlineStr">
        <is>
          <t>OLS 截距（對照）</t>
        </is>
      </c>
      <c r="B12" s="22">
        <f>'WLS_1x2加權'!B28</f>
        <v/>
      </c>
      <c r="C12" s="22" t="n">
        <v>-3.78834729484022</v>
      </c>
      <c r="D12" s="23">
        <f>IF(ABS(B12-C12)&lt;=0.00189417364742011,"✓","✗")</f>
        <v/>
      </c>
      <c r="E12" s="24" t="inlineStr">
        <is>
          <t>'WLS_1x2加權'!B28</t>
        </is>
      </c>
    </row>
    <row r="13">
      <c r="A13" s="8" t="inlineStr">
        <is>
          <t>1ppm OLS %RE</t>
        </is>
      </c>
      <c r="B13" s="22">
        <f>'WLS_1x2加權'!D32</f>
        <v/>
      </c>
      <c r="C13" s="22" t="n">
        <v>4.34034336369626</v>
      </c>
      <c r="D13" s="23">
        <f>IF(ABS(B13-C13)&lt;=0.0001,"✓","✗")</f>
        <v/>
      </c>
      <c r="E13" s="24" t="inlineStr">
        <is>
          <t>'WLS_1x2加權'!D32</t>
        </is>
      </c>
    </row>
    <row r="14">
      <c r="A14" s="8" t="inlineStr">
        <is>
          <t>1ppm WLS 1/x² %RE</t>
        </is>
      </c>
      <c r="B14" s="22">
        <f>'WLS_1x2加權'!F32</f>
        <v/>
      </c>
      <c r="C14" s="22" t="n">
        <v>0.415946913862442</v>
      </c>
      <c r="D14" s="23">
        <f>IF(ABS(B14-C14)&lt;=0.0001,"✓","✗")</f>
        <v/>
      </c>
      <c r="E14" s="24" t="inlineStr">
        <is>
          <t>'WLS_1x2加權'!F32</t>
        </is>
      </c>
    </row>
    <row r="16">
      <c r="A16" s="13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2026-09-17T18:08:36Z</dcterms:created>
  <dcterms:modified xmlns:dcterms="http://purl.org/dc/terms/" xmlns:xsi="http://www.w3.org/2001/XMLSchema-instance" xsi:type="dcterms:W3CDTF">2026-09-17T18:08:36Z</dcterms:modified>
</cp:coreProperties>
</file>