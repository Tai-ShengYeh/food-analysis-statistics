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^3因子設計" sheetId="2" state="visible" r:id="rId2"/>
    <sheet xmlns:r="http://schemas.openxmlformats.org/officeDocument/2006/relationships" name="CCD二階模型" sheetId="3" state="visible" r:id="rId3"/>
    <sheet xmlns:r="http://schemas.openxmlformats.org/officeDocument/2006/relationships" name="對照R答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Microsoft JhengHei"/>
      <b val="1"/>
      <sz val="11"/>
    </font>
    <font>
      <name val="Consolas"/>
      <color rgb="001565C0"/>
      <sz val="10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1" fontId="6" fillId="3" borderId="1" pivotButton="0" quotePrefix="0" xfId="0"/>
    <xf numFmtId="1" fontId="0" fillId="0" borderId="0" pivotButton="0" quotePrefix="0" xfId="0"/>
    <xf numFmtId="164" fontId="6" fillId="3" borderId="1" pivotButton="0" quotePrefix="0" xfId="0"/>
    <xf numFmtId="0" fontId="7" fillId="0" borderId="0" applyAlignment="1" pivotButton="0" quotePrefix="0" xfId="0">
      <alignment vertical="top" wrapText="1"/>
    </xf>
    <xf numFmtId="0" fontId="6" fillId="0" borderId="1" pivotButton="0" quotePrefix="0" xfId="0"/>
    <xf numFmtId="165" fontId="6" fillId="0" borderId="1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0" borderId="1" pivotButton="0" quotePrefix="0" xfId="0"/>
    <xf numFmtId="165" fontId="9" fillId="4" borderId="1" pivotButton="0" quotePrefix="0" xfId="0"/>
    <xf numFmtId="166" fontId="6" fillId="3" borderId="1" pivotButton="0" quotePrefix="0" xfId="0"/>
    <xf numFmtId="165" fontId="0" fillId="0" borderId="0" pivotButton="0" quotePrefix="0" xfId="0"/>
    <xf numFmtId="1" fontId="6" fillId="0" borderId="1" pivotButton="0" quotePrefix="0" xfId="0"/>
    <xf numFmtId="165" fontId="6" fillId="3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Ch14 DOE/RSM：2^3 因子效應、曲率檢定、CCD 二階模型</t>
        </is>
      </c>
    </row>
    <row r="2">
      <c r="A2" s="2" t="inlineStr">
        <is>
          <t>對應網頁：ch14.html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情境：超音波輔助萃取茶葉多酚，反應值＝DPPH 清除率(%)。因子：A 乙醇濃度、B 萃取溫度、C 超音波時間（都用 ±1 編碼）。</t>
        </is>
      </c>
    </row>
    <row r="6">
      <c r="A6" s="4" t="inlineStr">
        <is>
          <t>「2^3因子設計」用 8 個角落點＋4 個中心點，算出主效應、交互作用，並用中心點做「曲率檢定」（反應曲面是不是彎的）。</t>
        </is>
      </c>
    </row>
    <row r="7">
      <c r="A7" s="4" t="inlineStr">
        <is>
          <t>「CCD二階模型」在 8 角落點外加 6 個軸點＋6 個中心點（共 20 run），配二階（含平方項）模型，算出某條件下的預測值、殘差 SS、中心點純誤差 SS，以及失擬檢定（模型夠不夠用）。</t>
        </is>
      </c>
    </row>
    <row r="8">
      <c r="A8" s="3" t="inlineStr">
        <is>
          <t>怎麼用</t>
        </is>
      </c>
    </row>
    <row r="9">
      <c r="A9" s="4" t="inlineStr">
        <is>
          <t>1. 「2^3因子設計」左邊黃色是編碼 A/B/C 與實測 y；右邊先算 6 個效應（A、B、C、AB、AC、BC），再做曲率檢定。</t>
        </is>
      </c>
    </row>
    <row r="10">
      <c r="A10" s="4" t="inlineStr">
        <is>
          <t>2. 「CCD二階模型」用 LINEST 一次配出 10 個係數（用 INDEX 逐一取值）；下面「預測條件」區塊的 a/b/c 是黃格，改了就能看模型怎麼預測不同條件下的清除率。</t>
        </is>
      </c>
    </row>
    <row r="11">
      <c r="A11" s="4" t="inlineStr">
        <is>
          <t>3. 試著把中心點的某個 y 改得離群一點，看純誤差 SS 變大、失擬檢定的 F 變小（模型看起來「更夠用」，這其實是假象，要小心解讀）。</t>
        </is>
      </c>
    </row>
    <row r="12">
      <c r="A12" s="4" t="inlineStr">
        <is>
          <t>4. 「對照R答案」核對所有關鍵結果。</t>
        </is>
      </c>
    </row>
    <row r="13">
      <c r="A13" s="3" t="inlineStr">
        <is>
          <t>觀念提醒</t>
        </is>
      </c>
    </row>
    <row r="14">
      <c r="A14" s="4" t="inlineStr">
        <is>
          <t>① 效應＝高水準平均－低水準平均（對比÷4）；迴歸係數＝效應的一半——這是初學者最容易混淆的一步。</t>
        </is>
      </c>
    </row>
    <row r="15">
      <c r="A15" s="4" t="inlineStr">
        <is>
          <t>② 曲率檢定的 H0 是「中心點平均＝因子點平均」；顯著就代表 2 水準的直線模型不夠用，需要 CCD 這種二階設計。</t>
        </is>
      </c>
    </row>
    <row r="16">
      <c r="A16" s="4" t="inlineStr">
        <is>
          <t>③ LINEST 回傳的係數順序和 X 欄位順序&lt;b&gt;相反&lt;/b&gt;（最後一欄的係數最先出現，截距永遠最後一個），INDEX(LINEST(...),1,k) 要對照清楚，不然會取錯係數。</t>
        </is>
      </c>
    </row>
    <row r="17">
      <c r="A17" s="3" t="inlineStr">
        <is>
          <t>資料分析工具箱（Analysis ToolPak）操作步驟</t>
        </is>
      </c>
    </row>
    <row r="18">
      <c r="A18" s="4" t="inlineStr">
        <is>
          <t>DOE 的效應計算本質上是加減平均，工具箱沒有專門的「因子設計」工具，但 CCD 的二階模型可以用工具箱的&lt;b&gt;迴歸&lt;/b&gt;取代 LINEST：</t>
        </is>
      </c>
    </row>
    <row r="19">
      <c r="A19" s="4" t="inlineStr">
        <is>
          <t>① 啟用：檔案 → 選項 → 增益集 → 管理「Excel 增益集」→ 執行 → 勾選「分析工具箱」。</t>
        </is>
      </c>
    </row>
    <row r="20">
      <c r="A20" s="4" t="inlineStr">
        <is>
          <t>② 先在資料表右邊排好 A、B、C、A²、B²、C²、A×B、A×C、B×C 九欄（本活頁簿已經排好），「資料」→「資料分析」→「迴歸」。</t>
        </is>
      </c>
    </row>
    <row r="21">
      <c r="A21" s="4" t="inlineStr">
        <is>
          <t>③ 「輸入 Y 範圍」放 y（DPPH）欄；「輸入 X 範圍」框住上述九欄（必須緊鄰）；若含標題文字，勾選「標記」。</t>
        </is>
      </c>
    </row>
    <row r="22">
      <c r="A22" s="4" t="inlineStr">
        <is>
          <t>④ 輸出的「係數」欄從上到下依序對應 Intercept、A、B、C、A²、B²、C²、A×B、A×C、B×C——順序就是 X 範圍原本的欄位順序，&lt;b&gt;不像&lt;/b&gt; LINEST 會反過來，這是兩者最大的差別；「殘差輸出」表可直接讀每一列的殘差，平方加總就是殘差 SS。</t>
        </is>
      </c>
    </row>
    <row r="23">
      <c r="A23" s="4" t="inlineStr">
        <is>
          <t>⑤ 工具箱的迴歸輸出是靜態表；本活頁簿用 LINEST／INDEX 寫成公式，改黃色數據會自動重算。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60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A(乙醇)</t>
        </is>
      </c>
      <c r="B1" s="5" t="inlineStr">
        <is>
          <t>B(溫度)</t>
        </is>
      </c>
      <c r="C1" s="5" t="inlineStr">
        <is>
          <t>C(時間)</t>
        </is>
      </c>
      <c r="D1" s="5" t="inlineStr">
        <is>
          <t>AB</t>
        </is>
      </c>
      <c r="E1" s="5" t="inlineStr">
        <is>
          <t>AC</t>
        </is>
      </c>
      <c r="F1" s="5" t="inlineStr">
        <is>
          <t>BC</t>
        </is>
      </c>
      <c r="G1" s="5" t="inlineStr">
        <is>
          <t>y(DPPH%)</t>
        </is>
      </c>
    </row>
    <row r="2">
      <c r="A2" s="6" t="n">
        <v>-1</v>
      </c>
      <c r="B2" s="6" t="n">
        <v>-1</v>
      </c>
      <c r="C2" s="6" t="n">
        <v>-1</v>
      </c>
      <c r="D2" s="7">
        <f>A2*B2</f>
        <v/>
      </c>
      <c r="E2" s="7">
        <f>A2*C2</f>
        <v/>
      </c>
      <c r="F2" s="7">
        <f>B2*C2</f>
        <v/>
      </c>
      <c r="G2" s="8" t="n">
        <v>33.7</v>
      </c>
    </row>
    <row r="3">
      <c r="A3" s="6" t="n">
        <v>1</v>
      </c>
      <c r="B3" s="6" t="n">
        <v>-1</v>
      </c>
      <c r="C3" s="6" t="n">
        <v>-1</v>
      </c>
      <c r="D3" s="7">
        <f>A3*B3</f>
        <v/>
      </c>
      <c r="E3" s="7">
        <f>A3*C3</f>
        <v/>
      </c>
      <c r="F3" s="7">
        <f>B3*C3</f>
        <v/>
      </c>
      <c r="G3" s="8" t="n">
        <v>41.6</v>
      </c>
    </row>
    <row r="4">
      <c r="A4" s="6" t="n">
        <v>-1</v>
      </c>
      <c r="B4" s="6" t="n">
        <v>1</v>
      </c>
      <c r="C4" s="6" t="n">
        <v>-1</v>
      </c>
      <c r="D4" s="7">
        <f>A4*B4</f>
        <v/>
      </c>
      <c r="E4" s="7">
        <f>A4*C4</f>
        <v/>
      </c>
      <c r="F4" s="7">
        <f>B4*C4</f>
        <v/>
      </c>
      <c r="G4" s="8" t="n">
        <v>38</v>
      </c>
    </row>
    <row r="5">
      <c r="A5" s="6" t="n">
        <v>1</v>
      </c>
      <c r="B5" s="6" t="n">
        <v>1</v>
      </c>
      <c r="C5" s="6" t="n">
        <v>-1</v>
      </c>
      <c r="D5" s="7">
        <f>A5*B5</f>
        <v/>
      </c>
      <c r="E5" s="7">
        <f>A5*C5</f>
        <v/>
      </c>
      <c r="F5" s="7">
        <f>B5*C5</f>
        <v/>
      </c>
      <c r="G5" s="8" t="n">
        <v>52.3</v>
      </c>
    </row>
    <row r="6">
      <c r="A6" s="6" t="n">
        <v>-1</v>
      </c>
      <c r="B6" s="6" t="n">
        <v>-1</v>
      </c>
      <c r="C6" s="6" t="n">
        <v>1</v>
      </c>
      <c r="D6" s="7">
        <f>A6*B6</f>
        <v/>
      </c>
      <c r="E6" s="7">
        <f>A6*C6</f>
        <v/>
      </c>
      <c r="F6" s="7">
        <f>B6*C6</f>
        <v/>
      </c>
      <c r="G6" s="8" t="n">
        <v>38.5</v>
      </c>
    </row>
    <row r="7">
      <c r="A7" s="6" t="n">
        <v>1</v>
      </c>
      <c r="B7" s="6" t="n">
        <v>-1</v>
      </c>
      <c r="C7" s="6" t="n">
        <v>1</v>
      </c>
      <c r="D7" s="7">
        <f>A7*B7</f>
        <v/>
      </c>
      <c r="E7" s="7">
        <f>A7*C7</f>
        <v/>
      </c>
      <c r="F7" s="7">
        <f>B7*C7</f>
        <v/>
      </c>
      <c r="G7" s="8" t="n">
        <v>45</v>
      </c>
    </row>
    <row r="8">
      <c r="A8" s="6" t="n">
        <v>-1</v>
      </c>
      <c r="B8" s="6" t="n">
        <v>1</v>
      </c>
      <c r="C8" s="6" t="n">
        <v>1</v>
      </c>
      <c r="D8" s="7">
        <f>A8*B8</f>
        <v/>
      </c>
      <c r="E8" s="7">
        <f>A8*C8</f>
        <v/>
      </c>
      <c r="F8" s="7">
        <f>B8*C8</f>
        <v/>
      </c>
      <c r="G8" s="8" t="n">
        <v>39.4</v>
      </c>
    </row>
    <row r="9">
      <c r="A9" s="6" t="n">
        <v>1</v>
      </c>
      <c r="B9" s="6" t="n">
        <v>1</v>
      </c>
      <c r="C9" s="6" t="n">
        <v>1</v>
      </c>
      <c r="D9" s="7">
        <f>A9*B9</f>
        <v/>
      </c>
      <c r="E9" s="7">
        <f>A9*C9</f>
        <v/>
      </c>
      <c r="F9" s="7">
        <f>B9*C9</f>
        <v/>
      </c>
      <c r="G9" s="8" t="n">
        <v>55.8</v>
      </c>
    </row>
    <row r="11">
      <c r="A11" s="9" t="inlineStr">
        <is>
          <t>中心點 y（A=B=C=0，4 次獨立重複萃取）</t>
        </is>
      </c>
    </row>
    <row r="12">
      <c r="A12" s="8" t="n">
        <v>59.5</v>
      </c>
    </row>
    <row r="13">
      <c r="A13" s="8" t="n">
        <v>61.3</v>
      </c>
    </row>
    <row r="14">
      <c r="A14" s="8" t="n">
        <v>59.5</v>
      </c>
    </row>
    <row r="15">
      <c r="A15" s="8" t="n">
        <v>60.4</v>
      </c>
    </row>
    <row r="18">
      <c r="A18" s="5" t="inlineStr">
        <is>
          <t>項目</t>
        </is>
      </c>
      <c r="B18" s="5" t="inlineStr">
        <is>
          <t>結果</t>
        </is>
      </c>
      <c r="C18" s="5" t="inlineStr">
        <is>
          <t>公式</t>
        </is>
      </c>
      <c r="D18" s="5" t="inlineStr">
        <is>
          <t>白話說明</t>
        </is>
      </c>
    </row>
    <row r="19">
      <c r="A19" s="10" t="inlineStr">
        <is>
          <t>對比 contrast_A</t>
        </is>
      </c>
      <c r="B19" s="11">
        <f>SUMPRODUCT(A2:A9,G2:G9)</f>
        <v/>
      </c>
      <c r="C19" s="12" t="inlineStr">
        <is>
          <t>'=SUMPRODUCT(A2:A9,G2:G9)</t>
        </is>
      </c>
      <c r="D19" s="13" t="inlineStr">
        <is>
          <t>Σ(A欄 × y)</t>
        </is>
      </c>
    </row>
    <row r="20">
      <c r="A20" s="14" t="inlineStr">
        <is>
          <t>效應 effect_A</t>
        </is>
      </c>
      <c r="B20" s="15">
        <f>B19/4</f>
        <v/>
      </c>
      <c r="C20" s="12" t="inlineStr">
        <is>
          <t>'=B19/4</t>
        </is>
      </c>
      <c r="D20" s="13" t="inlineStr">
        <is>
          <t>對比 ÷ (N/2) = 對比 ÷ 4（N=8）</t>
        </is>
      </c>
    </row>
    <row r="21">
      <c r="A21" s="10" t="inlineStr">
        <is>
          <t>係數 coef_A</t>
        </is>
      </c>
      <c r="B21" s="11">
        <f>B20/2</f>
        <v/>
      </c>
      <c r="C21" s="12" t="inlineStr">
        <is>
          <t>'=B20/2</t>
        </is>
      </c>
      <c r="D21" s="13" t="inlineStr">
        <is>
          <t>效應的一半</t>
        </is>
      </c>
    </row>
    <row r="22">
      <c r="A22" s="10" t="inlineStr">
        <is>
          <t>對比 contrast_B</t>
        </is>
      </c>
      <c r="B22" s="11">
        <f>SUMPRODUCT(B2:B9,G2:G9)</f>
        <v/>
      </c>
      <c r="C22" s="12" t="inlineStr">
        <is>
          <t>'=SUMPRODUCT(B2:B9,G2:G9)</t>
        </is>
      </c>
    </row>
    <row r="23">
      <c r="A23" s="14" t="inlineStr">
        <is>
          <t>效應 effect_B</t>
        </is>
      </c>
      <c r="B23" s="15">
        <f>B22/4</f>
        <v/>
      </c>
      <c r="C23" s="12" t="inlineStr">
        <is>
          <t>'=B22/4</t>
        </is>
      </c>
    </row>
    <row r="24">
      <c r="A24" s="10" t="inlineStr">
        <is>
          <t>係數 coef_B</t>
        </is>
      </c>
      <c r="B24" s="11">
        <f>B23/2</f>
        <v/>
      </c>
      <c r="C24" s="12" t="inlineStr">
        <is>
          <t>'=B23/2</t>
        </is>
      </c>
    </row>
    <row r="25">
      <c r="A25" s="10" t="inlineStr">
        <is>
          <t>對比 contrast_C</t>
        </is>
      </c>
      <c r="B25" s="11">
        <f>SUMPRODUCT(C2:C9,G2:G9)</f>
        <v/>
      </c>
      <c r="C25" s="12" t="inlineStr">
        <is>
          <t>'=SUMPRODUCT(C2:C9,G2:G9)</t>
        </is>
      </c>
    </row>
    <row r="26">
      <c r="A26" s="14" t="inlineStr">
        <is>
          <t>效應 effect_C</t>
        </is>
      </c>
      <c r="B26" s="15">
        <f>B25/4</f>
        <v/>
      </c>
      <c r="C26" s="12" t="inlineStr">
        <is>
          <t>'=B25/4</t>
        </is>
      </c>
    </row>
    <row r="27">
      <c r="A27" s="10" t="inlineStr">
        <is>
          <t>係數 coef_C</t>
        </is>
      </c>
      <c r="B27" s="11">
        <f>B26/2</f>
        <v/>
      </c>
      <c r="C27" s="12" t="inlineStr">
        <is>
          <t>'=B26/2</t>
        </is>
      </c>
    </row>
    <row r="28">
      <c r="A28" s="10" t="inlineStr">
        <is>
          <t>對比 contrast_AB</t>
        </is>
      </c>
      <c r="B28" s="11">
        <f>SUMPRODUCT(D2:D9,G2:G9)</f>
        <v/>
      </c>
      <c r="C28" s="12" t="inlineStr">
        <is>
          <t>'=SUMPRODUCT(D2:D9,G2:G9)</t>
        </is>
      </c>
    </row>
    <row r="29">
      <c r="A29" s="14" t="inlineStr">
        <is>
          <t>效應 effect_AB（交互作用）</t>
        </is>
      </c>
      <c r="B29" s="15">
        <f>B28/4</f>
        <v/>
      </c>
      <c r="C29" s="12" t="inlineStr">
        <is>
          <t>'=B28/4</t>
        </is>
      </c>
    </row>
    <row r="30">
      <c r="A30" s="10" t="inlineStr">
        <is>
          <t>係數 coef_AB</t>
        </is>
      </c>
      <c r="B30" s="11">
        <f>B29/2</f>
        <v/>
      </c>
      <c r="C30" s="12" t="inlineStr">
        <is>
          <t>'=B29/2</t>
        </is>
      </c>
    </row>
    <row r="31">
      <c r="A31" s="10" t="inlineStr">
        <is>
          <t>對比 contrast_AC</t>
        </is>
      </c>
      <c r="B31" s="11">
        <f>SUMPRODUCT(E2:E9,G2:G9)</f>
        <v/>
      </c>
      <c r="C31" s="12" t="inlineStr">
        <is>
          <t>'=SUMPRODUCT(E2:E9,G2:G9)</t>
        </is>
      </c>
    </row>
    <row r="32">
      <c r="A32" s="10" t="inlineStr">
        <is>
          <t>效應 effect_AC</t>
        </is>
      </c>
      <c r="B32" s="11">
        <f>B31/4</f>
        <v/>
      </c>
      <c r="C32" s="12" t="inlineStr">
        <is>
          <t>'=B31/4</t>
        </is>
      </c>
    </row>
    <row r="33">
      <c r="A33" s="10" t="inlineStr">
        <is>
          <t>對比 contrast_BC</t>
        </is>
      </c>
      <c r="B33" s="11">
        <f>SUMPRODUCT(F2:F9,G2:G9)</f>
        <v/>
      </c>
      <c r="C33" s="12" t="inlineStr">
        <is>
          <t>'=SUMPRODUCT(F2:F9,G2:G9)</t>
        </is>
      </c>
    </row>
    <row r="34">
      <c r="A34" s="10" t="inlineStr">
        <is>
          <t>效應 effect_BC</t>
        </is>
      </c>
      <c r="B34" s="11">
        <f>B33/4</f>
        <v/>
      </c>
      <c r="C34" s="12" t="inlineStr">
        <is>
          <t>'=B33/4</t>
        </is>
      </c>
    </row>
    <row r="36">
      <c r="A36" s="9" t="inlineStr">
        <is>
          <t>曲率檢定：中心點平均 vs 因子點平均</t>
        </is>
      </c>
    </row>
    <row r="37">
      <c r="A37" s="10" t="inlineStr">
        <is>
          <t>因子點平均</t>
        </is>
      </c>
      <c r="B37" s="11">
        <f>AVERAGE(G2:G9)</f>
        <v/>
      </c>
      <c r="C37" s="12" t="inlineStr">
        <is>
          <t>'=AVERAGE(G2:G9)</t>
        </is>
      </c>
    </row>
    <row r="38">
      <c r="A38" s="10" t="inlineStr">
        <is>
          <t>中心點平均</t>
        </is>
      </c>
      <c r="B38" s="11">
        <f>AVERAGE(A12:A15)</f>
        <v/>
      </c>
      <c r="C38" s="12" t="inlineStr">
        <is>
          <t>'=AVERAGE(A12:A15)</t>
        </is>
      </c>
    </row>
    <row r="39">
      <c r="A39" s="10" t="inlineStr">
        <is>
          <t>純誤差 s_pure</t>
        </is>
      </c>
      <c r="B39" s="11">
        <f>_xlfn.STDEV.S(A12:A15)</f>
        <v/>
      </c>
      <c r="C39" s="12" t="inlineStr">
        <is>
          <t>'=STDEV.S(A12:A15)</t>
        </is>
      </c>
      <c r="D39" s="13" t="inlineStr">
        <is>
          <t>只有中心點重複能給出的誤差估計</t>
        </is>
      </c>
    </row>
    <row r="40">
      <c r="A40" s="14" t="inlineStr">
        <is>
          <t>曲率 t 值</t>
        </is>
      </c>
      <c r="B40" s="15">
        <f>(B38-B37)/(B39*SQRT(1/4+1/8))</f>
        <v/>
      </c>
      <c r="C40" s="12" t="inlineStr">
        <is>
          <t>'=(B38-B37)/(B39*SQRT(1/4+1/8))</t>
        </is>
      </c>
    </row>
    <row r="41">
      <c r="A41" s="14" t="inlineStr">
        <is>
          <t>曲率 p 值（雙尾）</t>
        </is>
      </c>
      <c r="B41" s="15">
        <f>_xlfn.T.DIST.2T(ABS(B40),3)</f>
        <v/>
      </c>
      <c r="C41" s="12" t="inlineStr">
        <is>
          <t>'=T.DIST.2T(ABS(B40),3)</t>
        </is>
      </c>
      <c r="D41" s="13" t="inlineStr">
        <is>
          <t>H0：中心點平均＝因子點平均（曲面沒有彎）</t>
        </is>
      </c>
    </row>
    <row r="43">
      <c r="A43" s="13" t="inlineStr">
        <is>
          <t>p 值極小 → 反應曲面是彎的，直線模型不夠用，需要升級到 CCD（見「CCD二階模型」）。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6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5" t="inlineStr">
        <is>
          <t>A</t>
        </is>
      </c>
      <c r="B1" s="5" t="inlineStr">
        <is>
          <t>B</t>
        </is>
      </c>
      <c r="C1" s="5" t="inlineStr">
        <is>
          <t>C</t>
        </is>
      </c>
      <c r="D1" s="5" t="inlineStr">
        <is>
          <t>A²</t>
        </is>
      </c>
      <c r="E1" s="5" t="inlineStr">
        <is>
          <t>B²</t>
        </is>
      </c>
      <c r="F1" s="5" t="inlineStr">
        <is>
          <t>C²</t>
        </is>
      </c>
      <c r="G1" s="5" t="inlineStr">
        <is>
          <t>AB</t>
        </is>
      </c>
      <c r="H1" s="5" t="inlineStr">
        <is>
          <t>AC</t>
        </is>
      </c>
      <c r="I1" s="5" t="inlineStr">
        <is>
          <t>BC</t>
        </is>
      </c>
      <c r="J1" s="5" t="inlineStr">
        <is>
          <t>y(DPPH%)</t>
        </is>
      </c>
      <c r="K1" s="5" t="inlineStr">
        <is>
          <t>ŷ（模型預測）</t>
        </is>
      </c>
      <c r="L1" s="5" t="inlineStr">
        <is>
          <t>殘差 y−ŷ</t>
        </is>
      </c>
    </row>
    <row r="2">
      <c r="A2" s="16" t="n">
        <v>-1</v>
      </c>
      <c r="B2" s="16" t="n">
        <v>-1</v>
      </c>
      <c r="C2" s="16" t="n">
        <v>-1</v>
      </c>
      <c r="D2" s="17">
        <f>A2^2</f>
        <v/>
      </c>
      <c r="E2" s="17">
        <f>B2^2</f>
        <v/>
      </c>
      <c r="F2" s="17">
        <f>C2^2</f>
        <v/>
      </c>
      <c r="G2" s="17">
        <f>A2*B2</f>
        <v/>
      </c>
      <c r="H2" s="17">
        <f>A2*C2</f>
        <v/>
      </c>
      <c r="I2" s="17">
        <f>B2*C2</f>
        <v/>
      </c>
      <c r="J2" s="8" t="n">
        <v>34.8</v>
      </c>
      <c r="K2" s="17">
        <f>$B$24+A2*$B$25+B2*$B$26+C2*$B$27+D2*$B$28+E2*$B$29+F2*$B$30+G2*$B$31+H2*$B$32+I2*$B$33</f>
        <v/>
      </c>
      <c r="L2" s="17">
        <f>J2-K2</f>
        <v/>
      </c>
    </row>
    <row r="3">
      <c r="A3" s="16" t="n">
        <v>1</v>
      </c>
      <c r="B3" s="16" t="n">
        <v>-1</v>
      </c>
      <c r="C3" s="16" t="n">
        <v>-1</v>
      </c>
      <c r="D3" s="17">
        <f>A3^2</f>
        <v/>
      </c>
      <c r="E3" s="17">
        <f>B3^2</f>
        <v/>
      </c>
      <c r="F3" s="17">
        <f>C3^2</f>
        <v/>
      </c>
      <c r="G3" s="17">
        <f>A3*B3</f>
        <v/>
      </c>
      <c r="H3" s="17">
        <f>A3*C3</f>
        <v/>
      </c>
      <c r="I3" s="17">
        <f>B3*C3</f>
        <v/>
      </c>
      <c r="J3" s="8" t="n">
        <v>41.7</v>
      </c>
      <c r="K3" s="17">
        <f>$B$24+A3*$B$25+B3*$B$26+C3*$B$27+D3*$B$28+E3*$B$29+F3*$B$30+G3*$B$31+H3*$B$32+I3*$B$33</f>
        <v/>
      </c>
      <c r="L3" s="17">
        <f>J3-K3</f>
        <v/>
      </c>
    </row>
    <row r="4">
      <c r="A4" s="16" t="n">
        <v>-1</v>
      </c>
      <c r="B4" s="16" t="n">
        <v>1</v>
      </c>
      <c r="C4" s="16" t="n">
        <v>-1</v>
      </c>
      <c r="D4" s="17">
        <f>A4^2</f>
        <v/>
      </c>
      <c r="E4" s="17">
        <f>B4^2</f>
        <v/>
      </c>
      <c r="F4" s="17">
        <f>C4^2</f>
        <v/>
      </c>
      <c r="G4" s="17">
        <f>A4*B4</f>
        <v/>
      </c>
      <c r="H4" s="17">
        <f>A4*C4</f>
        <v/>
      </c>
      <c r="I4" s="17">
        <f>B4*C4</f>
        <v/>
      </c>
      <c r="J4" s="8" t="n">
        <v>35.1</v>
      </c>
      <c r="K4" s="17">
        <f>$B$24+A4*$B$25+B4*$B$26+C4*$B$27+D4*$B$28+E4*$B$29+F4*$B$30+G4*$B$31+H4*$B$32+I4*$B$33</f>
        <v/>
      </c>
      <c r="L4" s="17">
        <f>J4-K4</f>
        <v/>
      </c>
    </row>
    <row r="5">
      <c r="A5" s="16" t="n">
        <v>1</v>
      </c>
      <c r="B5" s="16" t="n">
        <v>1</v>
      </c>
      <c r="C5" s="16" t="n">
        <v>-1</v>
      </c>
      <c r="D5" s="17">
        <f>A5^2</f>
        <v/>
      </c>
      <c r="E5" s="17">
        <f>B5^2</f>
        <v/>
      </c>
      <c r="F5" s="17">
        <f>C5^2</f>
        <v/>
      </c>
      <c r="G5" s="17">
        <f>A5*B5</f>
        <v/>
      </c>
      <c r="H5" s="17">
        <f>A5*C5</f>
        <v/>
      </c>
      <c r="I5" s="17">
        <f>B5*C5</f>
        <v/>
      </c>
      <c r="J5" s="8" t="n">
        <v>51.6</v>
      </c>
      <c r="K5" s="17">
        <f>$B$24+A5*$B$25+B5*$B$26+C5*$B$27+D5*$B$28+E5*$B$29+F5*$B$30+G5*$B$31+H5*$B$32+I5*$B$33</f>
        <v/>
      </c>
      <c r="L5" s="17">
        <f>J5-K5</f>
        <v/>
      </c>
    </row>
    <row r="6">
      <c r="A6" s="16" t="n">
        <v>-1</v>
      </c>
      <c r="B6" s="16" t="n">
        <v>-1</v>
      </c>
      <c r="C6" s="16" t="n">
        <v>1</v>
      </c>
      <c r="D6" s="17">
        <f>A6^2</f>
        <v/>
      </c>
      <c r="E6" s="17">
        <f>B6^2</f>
        <v/>
      </c>
      <c r="F6" s="17">
        <f>C6^2</f>
        <v/>
      </c>
      <c r="G6" s="17">
        <f>A6*B6</f>
        <v/>
      </c>
      <c r="H6" s="17">
        <f>A6*C6</f>
        <v/>
      </c>
      <c r="I6" s="17">
        <f>B6*C6</f>
        <v/>
      </c>
      <c r="J6" s="8" t="n">
        <v>39.1</v>
      </c>
      <c r="K6" s="17">
        <f>$B$24+A6*$B$25+B6*$B$26+C6*$B$27+D6*$B$28+E6*$B$29+F6*$B$30+G6*$B$31+H6*$B$32+I6*$B$33</f>
        <v/>
      </c>
      <c r="L6" s="17">
        <f>J6-K6</f>
        <v/>
      </c>
    </row>
    <row r="7">
      <c r="A7" s="16" t="n">
        <v>1</v>
      </c>
      <c r="B7" s="16" t="n">
        <v>-1</v>
      </c>
      <c r="C7" s="16" t="n">
        <v>1</v>
      </c>
      <c r="D7" s="17">
        <f>A7^2</f>
        <v/>
      </c>
      <c r="E7" s="17">
        <f>B7^2</f>
        <v/>
      </c>
      <c r="F7" s="17">
        <f>C7^2</f>
        <v/>
      </c>
      <c r="G7" s="17">
        <f>A7*B7</f>
        <v/>
      </c>
      <c r="H7" s="17">
        <f>A7*C7</f>
        <v/>
      </c>
      <c r="I7" s="17">
        <f>B7*C7</f>
        <v/>
      </c>
      <c r="J7" s="8" t="n">
        <v>42</v>
      </c>
      <c r="K7" s="17">
        <f>$B$24+A7*$B$25+B7*$B$26+C7*$B$27+D7*$B$28+E7*$B$29+F7*$B$30+G7*$B$31+H7*$B$32+I7*$B$33</f>
        <v/>
      </c>
      <c r="L7" s="17">
        <f>J7-K7</f>
        <v/>
      </c>
    </row>
    <row r="8">
      <c r="A8" s="16" t="n">
        <v>-1</v>
      </c>
      <c r="B8" s="16" t="n">
        <v>1</v>
      </c>
      <c r="C8" s="16" t="n">
        <v>1</v>
      </c>
      <c r="D8" s="17">
        <f>A8^2</f>
        <v/>
      </c>
      <c r="E8" s="17">
        <f>B8^2</f>
        <v/>
      </c>
      <c r="F8" s="17">
        <f>C8^2</f>
        <v/>
      </c>
      <c r="G8" s="17">
        <f>A8*B8</f>
        <v/>
      </c>
      <c r="H8" s="17">
        <f>A8*C8</f>
        <v/>
      </c>
      <c r="I8" s="17">
        <f>B8*C8</f>
        <v/>
      </c>
      <c r="J8" s="8" t="n">
        <v>39.5</v>
      </c>
      <c r="K8" s="17">
        <f>$B$24+A8*$B$25+B8*$B$26+C8*$B$27+D8*$B$28+E8*$B$29+F8*$B$30+G8*$B$31+H8*$B$32+I8*$B$33</f>
        <v/>
      </c>
      <c r="L8" s="17">
        <f>J8-K8</f>
        <v/>
      </c>
    </row>
    <row r="9">
      <c r="A9" s="16" t="n">
        <v>1</v>
      </c>
      <c r="B9" s="16" t="n">
        <v>1</v>
      </c>
      <c r="C9" s="16" t="n">
        <v>1</v>
      </c>
      <c r="D9" s="17">
        <f>A9^2</f>
        <v/>
      </c>
      <c r="E9" s="17">
        <f>B9^2</f>
        <v/>
      </c>
      <c r="F9" s="17">
        <f>C9^2</f>
        <v/>
      </c>
      <c r="G9" s="17">
        <f>A9*B9</f>
        <v/>
      </c>
      <c r="H9" s="17">
        <f>A9*C9</f>
        <v/>
      </c>
      <c r="I9" s="17">
        <f>B9*C9</f>
        <v/>
      </c>
      <c r="J9" s="8" t="n">
        <v>55.8</v>
      </c>
      <c r="K9" s="17">
        <f>$B$24+A9*$B$25+B9*$B$26+C9*$B$27+D9*$B$28+E9*$B$29+F9*$B$30+G9*$B$31+H9*$B$32+I9*$B$33</f>
        <v/>
      </c>
      <c r="L9" s="17">
        <f>J9-K9</f>
        <v/>
      </c>
    </row>
    <row r="10">
      <c r="A10" s="16" t="n">
        <v>-1.681792831</v>
      </c>
      <c r="B10" s="16" t="n">
        <v>0</v>
      </c>
      <c r="C10" s="16" t="n">
        <v>0</v>
      </c>
      <c r="D10" s="17">
        <f>A10^2</f>
        <v/>
      </c>
      <c r="E10" s="17">
        <f>B10^2</f>
        <v/>
      </c>
      <c r="F10" s="17">
        <f>C10^2</f>
        <v/>
      </c>
      <c r="G10" s="17">
        <f>A10*B10</f>
        <v/>
      </c>
      <c r="H10" s="17">
        <f>A10*C10</f>
        <v/>
      </c>
      <c r="I10" s="17">
        <f>B10*C10</f>
        <v/>
      </c>
      <c r="J10" s="8" t="n">
        <v>31.6</v>
      </c>
      <c r="K10" s="17">
        <f>$B$24+A10*$B$25+B10*$B$26+C10*$B$27+D10*$B$28+E10*$B$29+F10*$B$30+G10*$B$31+H10*$B$32+I10*$B$33</f>
        <v/>
      </c>
      <c r="L10" s="17">
        <f>J10-K10</f>
        <v/>
      </c>
    </row>
    <row r="11">
      <c r="A11" s="16" t="n">
        <v>1.681792831</v>
      </c>
      <c r="B11" s="16" t="n">
        <v>0</v>
      </c>
      <c r="C11" s="16" t="n">
        <v>0</v>
      </c>
      <c r="D11" s="17">
        <f>A11^2</f>
        <v/>
      </c>
      <c r="E11" s="17">
        <f>B11^2</f>
        <v/>
      </c>
      <c r="F11" s="17">
        <f>C11^2</f>
        <v/>
      </c>
      <c r="G11" s="17">
        <f>A11*B11</f>
        <v/>
      </c>
      <c r="H11" s="17">
        <f>A11*C11</f>
        <v/>
      </c>
      <c r="I11" s="17">
        <f>B11*C11</f>
        <v/>
      </c>
      <c r="J11" s="8" t="n">
        <v>47.3</v>
      </c>
      <c r="K11" s="17">
        <f>$B$24+A11*$B$25+B11*$B$26+C11*$B$27+D11*$B$28+E11*$B$29+F11*$B$30+G11*$B$31+H11*$B$32+I11*$B$33</f>
        <v/>
      </c>
      <c r="L11" s="17">
        <f>J11-K11</f>
        <v/>
      </c>
    </row>
    <row r="12">
      <c r="A12" s="16" t="n">
        <v>0</v>
      </c>
      <c r="B12" s="16" t="n">
        <v>-1.681792831</v>
      </c>
      <c r="C12" s="16" t="n">
        <v>0</v>
      </c>
      <c r="D12" s="17">
        <f>A12^2</f>
        <v/>
      </c>
      <c r="E12" s="17">
        <f>B12^2</f>
        <v/>
      </c>
      <c r="F12" s="17">
        <f>C12^2</f>
        <v/>
      </c>
      <c r="G12" s="17">
        <f>A12*B12</f>
        <v/>
      </c>
      <c r="H12" s="17">
        <f>A12*C12</f>
        <v/>
      </c>
      <c r="I12" s="17">
        <f>B12*C12</f>
        <v/>
      </c>
      <c r="J12" s="8" t="n">
        <v>41.8</v>
      </c>
      <c r="K12" s="17">
        <f>$B$24+A12*$B$25+B12*$B$26+C12*$B$27+D12*$B$28+E12*$B$29+F12*$B$30+G12*$B$31+H12*$B$32+I12*$B$33</f>
        <v/>
      </c>
      <c r="L12" s="17">
        <f>J12-K12</f>
        <v/>
      </c>
    </row>
    <row r="13">
      <c r="A13" s="16" t="n">
        <v>0</v>
      </c>
      <c r="B13" s="16" t="n">
        <v>1.681792831</v>
      </c>
      <c r="C13" s="16" t="n">
        <v>0</v>
      </c>
      <c r="D13" s="17">
        <f>A13^2</f>
        <v/>
      </c>
      <c r="E13" s="17">
        <f>B13^2</f>
        <v/>
      </c>
      <c r="F13" s="17">
        <f>C13^2</f>
        <v/>
      </c>
      <c r="G13" s="17">
        <f>A13*B13</f>
        <v/>
      </c>
      <c r="H13" s="17">
        <f>A13*C13</f>
        <v/>
      </c>
      <c r="I13" s="17">
        <f>B13*C13</f>
        <v/>
      </c>
      <c r="J13" s="8" t="n">
        <v>50.5</v>
      </c>
      <c r="K13" s="17">
        <f>$B$24+A13*$B$25+B13*$B$26+C13*$B$27+D13*$B$28+E13*$B$29+F13*$B$30+G13*$B$31+H13*$B$32+I13*$B$33</f>
        <v/>
      </c>
      <c r="L13" s="17">
        <f>J13-K13</f>
        <v/>
      </c>
    </row>
    <row r="14">
      <c r="A14" s="16" t="n">
        <v>0</v>
      </c>
      <c r="B14" s="16" t="n">
        <v>0</v>
      </c>
      <c r="C14" s="16" t="n">
        <v>-1.681792831</v>
      </c>
      <c r="D14" s="17">
        <f>A14^2</f>
        <v/>
      </c>
      <c r="E14" s="17">
        <f>B14^2</f>
        <v/>
      </c>
      <c r="F14" s="17">
        <f>C14^2</f>
        <v/>
      </c>
      <c r="G14" s="17">
        <f>A14*B14</f>
        <v/>
      </c>
      <c r="H14" s="17">
        <f>A14*C14</f>
        <v/>
      </c>
      <c r="I14" s="17">
        <f>B14*C14</f>
        <v/>
      </c>
      <c r="J14" s="8" t="n">
        <v>39.9</v>
      </c>
      <c r="K14" s="17">
        <f>$B$24+A14*$B$25+B14*$B$26+C14*$B$27+D14*$B$28+E14*$B$29+F14*$B$30+G14*$B$31+H14*$B$32+I14*$B$33</f>
        <v/>
      </c>
      <c r="L14" s="17">
        <f>J14-K14</f>
        <v/>
      </c>
    </row>
    <row r="15">
      <c r="A15" s="16" t="n">
        <v>0</v>
      </c>
      <c r="B15" s="16" t="n">
        <v>0</v>
      </c>
      <c r="C15" s="16" t="n">
        <v>1.681792831</v>
      </c>
      <c r="D15" s="17">
        <f>A15^2</f>
        <v/>
      </c>
      <c r="E15" s="17">
        <f>B15^2</f>
        <v/>
      </c>
      <c r="F15" s="17">
        <f>C15^2</f>
        <v/>
      </c>
      <c r="G15" s="17">
        <f>A15*B15</f>
        <v/>
      </c>
      <c r="H15" s="17">
        <f>A15*C15</f>
        <v/>
      </c>
      <c r="I15" s="17">
        <f>B15*C15</f>
        <v/>
      </c>
      <c r="J15" s="8" t="n">
        <v>44.9</v>
      </c>
      <c r="K15" s="17">
        <f>$B$24+A15*$B$25+B15*$B$26+C15*$B$27+D15*$B$28+E15*$B$29+F15*$B$30+G15*$B$31+H15*$B$32+I15*$B$33</f>
        <v/>
      </c>
      <c r="L15" s="17">
        <f>J15-K15</f>
        <v/>
      </c>
    </row>
    <row r="16">
      <c r="A16" s="16" t="n">
        <v>0</v>
      </c>
      <c r="B16" s="16" t="n">
        <v>0</v>
      </c>
      <c r="C16" s="16" t="n">
        <v>0</v>
      </c>
      <c r="D16" s="17">
        <f>A16^2</f>
        <v/>
      </c>
      <c r="E16" s="17">
        <f>B16^2</f>
        <v/>
      </c>
      <c r="F16" s="17">
        <f>C16^2</f>
        <v/>
      </c>
      <c r="G16" s="17">
        <f>A16*B16</f>
        <v/>
      </c>
      <c r="H16" s="17">
        <f>A16*C16</f>
        <v/>
      </c>
      <c r="I16" s="17">
        <f>B16*C16</f>
        <v/>
      </c>
      <c r="J16" s="8" t="n">
        <v>61.8</v>
      </c>
      <c r="K16" s="17">
        <f>$B$24+A16*$B$25+B16*$B$26+C16*$B$27+D16*$B$28+E16*$B$29+F16*$B$30+G16*$B$31+H16*$B$32+I16*$B$33</f>
        <v/>
      </c>
      <c r="L16" s="17">
        <f>J16-K16</f>
        <v/>
      </c>
    </row>
    <row r="17">
      <c r="A17" s="16" t="n">
        <v>0</v>
      </c>
      <c r="B17" s="16" t="n">
        <v>0</v>
      </c>
      <c r="C17" s="16" t="n">
        <v>0</v>
      </c>
      <c r="D17" s="17">
        <f>A17^2</f>
        <v/>
      </c>
      <c r="E17" s="17">
        <f>B17^2</f>
        <v/>
      </c>
      <c r="F17" s="17">
        <f>C17^2</f>
        <v/>
      </c>
      <c r="G17" s="17">
        <f>A17*B17</f>
        <v/>
      </c>
      <c r="H17" s="17">
        <f>A17*C17</f>
        <v/>
      </c>
      <c r="I17" s="17">
        <f>B17*C17</f>
        <v/>
      </c>
      <c r="J17" s="8" t="n">
        <v>60</v>
      </c>
      <c r="K17" s="17">
        <f>$B$24+A17*$B$25+B17*$B$26+C17*$B$27+D17*$B$28+E17*$B$29+F17*$B$30+G17*$B$31+H17*$B$32+I17*$B$33</f>
        <v/>
      </c>
      <c r="L17" s="17">
        <f>J17-K17</f>
        <v/>
      </c>
    </row>
    <row r="18">
      <c r="A18" s="16" t="n">
        <v>0</v>
      </c>
      <c r="B18" s="16" t="n">
        <v>0</v>
      </c>
      <c r="C18" s="16" t="n">
        <v>0</v>
      </c>
      <c r="D18" s="17">
        <f>A18^2</f>
        <v/>
      </c>
      <c r="E18" s="17">
        <f>B18^2</f>
        <v/>
      </c>
      <c r="F18" s="17">
        <f>C18^2</f>
        <v/>
      </c>
      <c r="G18" s="17">
        <f>A18*B18</f>
        <v/>
      </c>
      <c r="H18" s="17">
        <f>A18*C18</f>
        <v/>
      </c>
      <c r="I18" s="17">
        <f>B18*C18</f>
        <v/>
      </c>
      <c r="J18" s="8" t="n">
        <v>60</v>
      </c>
      <c r="K18" s="17">
        <f>$B$24+A18*$B$25+B18*$B$26+C18*$B$27+D18*$B$28+E18*$B$29+F18*$B$30+G18*$B$31+H18*$B$32+I18*$B$33</f>
        <v/>
      </c>
      <c r="L18" s="17">
        <f>J18-K18</f>
        <v/>
      </c>
    </row>
    <row r="19">
      <c r="A19" s="16" t="n">
        <v>0</v>
      </c>
      <c r="B19" s="16" t="n">
        <v>0</v>
      </c>
      <c r="C19" s="16" t="n">
        <v>0</v>
      </c>
      <c r="D19" s="17">
        <f>A19^2</f>
        <v/>
      </c>
      <c r="E19" s="17">
        <f>B19^2</f>
        <v/>
      </c>
      <c r="F19" s="17">
        <f>C19^2</f>
        <v/>
      </c>
      <c r="G19" s="17">
        <f>A19*B19</f>
        <v/>
      </c>
      <c r="H19" s="17">
        <f>A19*C19</f>
        <v/>
      </c>
      <c r="I19" s="17">
        <f>B19*C19</f>
        <v/>
      </c>
      <c r="J19" s="8" t="n">
        <v>60</v>
      </c>
      <c r="K19" s="17">
        <f>$B$24+A19*$B$25+B19*$B$26+C19*$B$27+D19*$B$28+E19*$B$29+F19*$B$30+G19*$B$31+H19*$B$32+I19*$B$33</f>
        <v/>
      </c>
      <c r="L19" s="17">
        <f>J19-K19</f>
        <v/>
      </c>
    </row>
    <row r="20">
      <c r="A20" s="16" t="n">
        <v>0</v>
      </c>
      <c r="B20" s="16" t="n">
        <v>0</v>
      </c>
      <c r="C20" s="16" t="n">
        <v>0</v>
      </c>
      <c r="D20" s="17">
        <f>A20^2</f>
        <v/>
      </c>
      <c r="E20" s="17">
        <f>B20^2</f>
        <v/>
      </c>
      <c r="F20" s="17">
        <f>C20^2</f>
        <v/>
      </c>
      <c r="G20" s="17">
        <f>A20*B20</f>
        <v/>
      </c>
      <c r="H20" s="17">
        <f>A20*C20</f>
        <v/>
      </c>
      <c r="I20" s="17">
        <f>B20*C20</f>
        <v/>
      </c>
      <c r="J20" s="8" t="n">
        <v>58.6</v>
      </c>
      <c r="K20" s="17">
        <f>$B$24+A20*$B$25+B20*$B$26+C20*$B$27+D20*$B$28+E20*$B$29+F20*$B$30+G20*$B$31+H20*$B$32+I20*$B$33</f>
        <v/>
      </c>
      <c r="L20" s="17">
        <f>J20-K20</f>
        <v/>
      </c>
    </row>
    <row r="21">
      <c r="A21" s="16" t="n">
        <v>0</v>
      </c>
      <c r="B21" s="16" t="n">
        <v>0</v>
      </c>
      <c r="C21" s="16" t="n">
        <v>0</v>
      </c>
      <c r="D21" s="17">
        <f>A21^2</f>
        <v/>
      </c>
      <c r="E21" s="17">
        <f>B21^2</f>
        <v/>
      </c>
      <c r="F21" s="17">
        <f>C21^2</f>
        <v/>
      </c>
      <c r="G21" s="17">
        <f>A21*B21</f>
        <v/>
      </c>
      <c r="H21" s="17">
        <f>A21*C21</f>
        <v/>
      </c>
      <c r="I21" s="17">
        <f>B21*C21</f>
        <v/>
      </c>
      <c r="J21" s="8" t="n">
        <v>59.4</v>
      </c>
      <c r="K21" s="17">
        <f>$B$24+A21*$B$25+B21*$B$26+C21*$B$27+D21*$B$28+E21*$B$29+F21*$B$30+G21*$B$31+H21*$B$32+I21*$B$33</f>
        <v/>
      </c>
      <c r="L21" s="17">
        <f>J21-K21</f>
        <v/>
      </c>
    </row>
    <row r="23">
      <c r="A23" s="5" t="inlineStr">
        <is>
          <t>係數（LINEST）</t>
        </is>
      </c>
      <c r="B23" s="5" t="inlineStr">
        <is>
          <t>值</t>
        </is>
      </c>
      <c r="C23" s="5" t="inlineStr">
        <is>
          <t>公式</t>
        </is>
      </c>
      <c r="D23" s="5" t="inlineStr">
        <is>
          <t>白話說明</t>
        </is>
      </c>
    </row>
    <row r="24">
      <c r="A24" s="14" t="inlineStr">
        <is>
          <t>Intercept</t>
        </is>
      </c>
      <c r="B24" s="15">
        <f>INDEX(LINEST(J2:J21,A2:I21),1,10)</f>
        <v/>
      </c>
      <c r="C24" s="12" t="inlineStr">
        <is>
          <t>'=INDEX(LINEST(J2:J21,A2:I21),1,10)</t>
        </is>
      </c>
      <c r="D24" s="13" t="inlineStr">
        <is>
          <t>LINEST 係數順序與 X 欄位相反：截距永遠是最後一個</t>
        </is>
      </c>
    </row>
    <row r="25">
      <c r="A25" s="14" t="inlineStr">
        <is>
          <t>coef_A</t>
        </is>
      </c>
      <c r="B25" s="15">
        <f>INDEX(LINEST(J2:J21,A2:I21),1,9)</f>
        <v/>
      </c>
      <c r="C25" s="12" t="inlineStr">
        <is>
          <t>'=INDEX(LINEST(J2:J21,A2:I21),1,9)</t>
        </is>
      </c>
      <c r="D25" s="13" t="inlineStr">
        <is>
          <t>X 第1欄(A)的係數在陣列倒數第2位</t>
        </is>
      </c>
    </row>
    <row r="26">
      <c r="A26" s="10" t="inlineStr">
        <is>
          <t>coef_B</t>
        </is>
      </c>
      <c r="B26" s="11">
        <f>INDEX(LINEST(J2:J21,A2:I21),1,8)</f>
        <v/>
      </c>
      <c r="C26" s="12" t="inlineStr">
        <is>
          <t>'=INDEX(LINEST(J2:J21,A2:I21),1,8)</t>
        </is>
      </c>
    </row>
    <row r="27">
      <c r="A27" s="10" t="inlineStr">
        <is>
          <t>coef_C</t>
        </is>
      </c>
      <c r="B27" s="11">
        <f>INDEX(LINEST(J2:J21,A2:I21),1,7)</f>
        <v/>
      </c>
      <c r="C27" s="12" t="inlineStr">
        <is>
          <t>'=INDEX(LINEST(J2:J21,A2:I21),1,7)</t>
        </is>
      </c>
    </row>
    <row r="28">
      <c r="A28" s="10" t="inlineStr">
        <is>
          <t>coef_A²</t>
        </is>
      </c>
      <c r="B28" s="11">
        <f>INDEX(LINEST(J2:J21,A2:I21),1,6)</f>
        <v/>
      </c>
      <c r="C28" s="12" t="inlineStr">
        <is>
          <t>'=INDEX(LINEST(J2:J21,A2:I21),1,6)</t>
        </is>
      </c>
    </row>
    <row r="29">
      <c r="A29" s="10" t="inlineStr">
        <is>
          <t>coef_B²</t>
        </is>
      </c>
      <c r="B29" s="11">
        <f>INDEX(LINEST(J2:J21,A2:I21),1,5)</f>
        <v/>
      </c>
      <c r="C29" s="12" t="inlineStr">
        <is>
          <t>'=INDEX(LINEST(J2:J21,A2:I21),1,5)</t>
        </is>
      </c>
    </row>
    <row r="30">
      <c r="A30" s="10" t="inlineStr">
        <is>
          <t>coef_C²</t>
        </is>
      </c>
      <c r="B30" s="11">
        <f>INDEX(LINEST(J2:J21,A2:I21),1,4)</f>
        <v/>
      </c>
      <c r="C30" s="12" t="inlineStr">
        <is>
          <t>'=INDEX(LINEST(J2:J21,A2:I21),1,4)</t>
        </is>
      </c>
    </row>
    <row r="31">
      <c r="A31" s="10" t="inlineStr">
        <is>
          <t>coef_AB</t>
        </is>
      </c>
      <c r="B31" s="11">
        <f>INDEX(LINEST(J2:J21,A2:I21),1,3)</f>
        <v/>
      </c>
      <c r="C31" s="12" t="inlineStr">
        <is>
          <t>'=INDEX(LINEST(J2:J21,A2:I21),1,3)</t>
        </is>
      </c>
    </row>
    <row r="32">
      <c r="A32" s="10" t="inlineStr">
        <is>
          <t>coef_AC</t>
        </is>
      </c>
      <c r="B32" s="11">
        <f>INDEX(LINEST(J2:J21,A2:I21),1,2)</f>
        <v/>
      </c>
      <c r="C32" s="12" t="inlineStr">
        <is>
          <t>'=INDEX(LINEST(J2:J21,A2:I21),1,2)</t>
        </is>
      </c>
    </row>
    <row r="33">
      <c r="A33" s="10" t="inlineStr">
        <is>
          <t>coef_BC</t>
        </is>
      </c>
      <c r="B33" s="11">
        <f>INDEX(LINEST(J2:J21,A2:I21),1,1)</f>
        <v/>
      </c>
      <c r="C33" s="12" t="inlineStr">
        <is>
          <t>'=INDEX(LINEST(J2:J21,A2:I21),1,1)</t>
        </is>
      </c>
      <c r="D33" s="13" t="inlineStr">
        <is>
          <t>X 最後一欄(BC)的係數在陣列第1位</t>
        </is>
      </c>
    </row>
    <row r="35">
      <c r="A35" s="9" t="inlineStr">
        <is>
          <t>殘差、純誤差與失擬檢定</t>
        </is>
      </c>
    </row>
    <row r="36">
      <c r="A36" s="5" t="inlineStr">
        <is>
          <t>項目</t>
        </is>
      </c>
      <c r="B36" s="5" t="inlineStr">
        <is>
          <t>結果</t>
        </is>
      </c>
      <c r="C36" s="5" t="inlineStr">
        <is>
          <t>公式</t>
        </is>
      </c>
      <c r="D36" s="5" t="inlineStr">
        <is>
          <t>白話說明</t>
        </is>
      </c>
    </row>
    <row r="37">
      <c r="A37" s="14" t="inlineStr">
        <is>
          <t>殘差 SS</t>
        </is>
      </c>
      <c r="B37" s="15">
        <f>SUMSQ(L2:L21)</f>
        <v/>
      </c>
      <c r="C37" s="12" t="inlineStr">
        <is>
          <t>'=SUMSQ(L2:L21)</t>
        </is>
      </c>
      <c r="D37" s="13" t="inlineStr">
        <is>
          <t>模型 ŷ 與實測 y 的差，逐列平方加總</t>
        </is>
      </c>
    </row>
    <row r="38">
      <c r="A38" s="14" t="inlineStr">
        <is>
          <t>中心點純誤差 SS</t>
        </is>
      </c>
      <c r="B38" s="15">
        <f>DEVSQ(J16:J21)</f>
        <v/>
      </c>
      <c r="C38" s="12" t="inlineStr">
        <is>
          <t>'=DEVSQ(J16:J21)</t>
        </is>
      </c>
      <c r="D38" s="13" t="inlineStr">
        <is>
          <t>只有 6 個中心點重複能提供純誤差（df=5）</t>
        </is>
      </c>
    </row>
    <row r="39">
      <c r="A39" s="14" t="inlineStr">
        <is>
          <t>失擬 SS</t>
        </is>
      </c>
      <c r="B39" s="15">
        <f>B37-B38</f>
        <v/>
      </c>
      <c r="C39" s="12" t="inlineStr">
        <is>
          <t>'=B37-B38</t>
        </is>
      </c>
    </row>
    <row r="40">
      <c r="A40" s="10" t="inlineStr">
        <is>
          <t>df_殘差</t>
        </is>
      </c>
      <c r="B40" s="18">
        <f>20-10</f>
        <v/>
      </c>
      <c r="C40" s="12" t="inlineStr">
        <is>
          <t>'=20-10</t>
        </is>
      </c>
      <c r="D40" s="13" t="inlineStr">
        <is>
          <t>20 個 run − 10 個模型參數</t>
        </is>
      </c>
    </row>
    <row r="41">
      <c r="A41" s="10" t="inlineStr">
        <is>
          <t>df_純誤差</t>
        </is>
      </c>
      <c r="B41" s="18">
        <f>6-1</f>
        <v/>
      </c>
      <c r="C41" s="12" t="inlineStr">
        <is>
          <t>'=6-1</t>
        </is>
      </c>
      <c r="D41" s="13" t="inlineStr">
        <is>
          <t>6 個中心點</t>
        </is>
      </c>
    </row>
    <row r="42">
      <c r="A42" s="10" t="inlineStr">
        <is>
          <t>df_失擬</t>
        </is>
      </c>
      <c r="B42" s="18">
        <f>B40-B41</f>
        <v/>
      </c>
      <c r="C42" s="12" t="inlineStr">
        <is>
          <t>'=B40-B41</t>
        </is>
      </c>
    </row>
    <row r="43">
      <c r="A43" s="14" t="inlineStr">
        <is>
          <t>F（失擬檢定）</t>
        </is>
      </c>
      <c r="B43" s="15">
        <f>(B39/B42)/(B38/B41)</f>
        <v/>
      </c>
      <c r="C43" s="12" t="inlineStr">
        <is>
          <t>'=(B39/B42)/(B38/B41)</t>
        </is>
      </c>
    </row>
    <row r="44">
      <c r="A44" s="14" t="inlineStr">
        <is>
          <t>p 值</t>
        </is>
      </c>
      <c r="B44" s="15">
        <f>_xlfn.F.DIST.RT(B43,B42,B41)</f>
        <v/>
      </c>
      <c r="C44" s="12" t="inlineStr">
        <is>
          <t>'=F.DIST.RT(B43,B42,B41)</t>
        </is>
      </c>
      <c r="D44" s="13" t="inlineStr">
        <is>
          <t>p 大才好：不顯著＝在純誤差的尺度下看不出模型不足</t>
        </is>
      </c>
    </row>
    <row r="46">
      <c r="A46" s="9" t="inlineStr">
        <is>
          <t>在特定條件下用二階模型預測（a/b/c 是黃格，可以改）</t>
        </is>
      </c>
    </row>
    <row r="47">
      <c r="A47" s="5" t="inlineStr">
        <is>
          <t>項目</t>
        </is>
      </c>
      <c r="B47" s="5" t="inlineStr">
        <is>
          <t>結果</t>
        </is>
      </c>
      <c r="C47" s="5" t="inlineStr">
        <is>
          <t>公式</t>
        </is>
      </c>
      <c r="D47" s="5" t="inlineStr">
        <is>
          <t>白話說明</t>
        </is>
      </c>
    </row>
    <row r="48">
      <c r="A48" s="10" t="inlineStr">
        <is>
          <t>a（A 編碼，預設＝駐點）</t>
        </is>
      </c>
      <c r="B48" s="19" t="n">
        <v>0.4425692885</v>
      </c>
    </row>
    <row r="49">
      <c r="A49" s="10" t="inlineStr">
        <is>
          <t>b（B 編碼，預設＝駐點）</t>
        </is>
      </c>
      <c r="B49" s="19" t="n">
        <v>0.4454640128</v>
      </c>
    </row>
    <row r="50">
      <c r="A50" s="10" t="inlineStr">
        <is>
          <t>c（C 編碼，預設＝駐點）</t>
        </is>
      </c>
      <c r="B50" s="19" t="n">
        <v>0.1302946816</v>
      </c>
    </row>
    <row r="51">
      <c r="A51" s="10" t="inlineStr">
        <is>
          <t>a²</t>
        </is>
      </c>
      <c r="B51" s="11">
        <f>B48^2</f>
        <v/>
      </c>
      <c r="C51" s="12" t="inlineStr">
        <is>
          <t>'=B48^2</t>
        </is>
      </c>
    </row>
    <row r="52">
      <c r="A52" s="10" t="inlineStr">
        <is>
          <t>b²</t>
        </is>
      </c>
      <c r="B52" s="11">
        <f>B49^2</f>
        <v/>
      </c>
      <c r="C52" s="12" t="inlineStr">
        <is>
          <t>'=B49^2</t>
        </is>
      </c>
    </row>
    <row r="53">
      <c r="A53" s="10" t="inlineStr">
        <is>
          <t>c²</t>
        </is>
      </c>
      <c r="B53" s="11">
        <f>B50^2</f>
        <v/>
      </c>
      <c r="C53" s="12" t="inlineStr">
        <is>
          <t>'=B50^2</t>
        </is>
      </c>
    </row>
    <row r="54">
      <c r="A54" s="10" t="inlineStr">
        <is>
          <t>a×b</t>
        </is>
      </c>
      <c r="B54" s="11">
        <f>B48*B49</f>
        <v/>
      </c>
      <c r="C54" s="12" t="inlineStr">
        <is>
          <t>'=B48*B49</t>
        </is>
      </c>
    </row>
    <row r="55">
      <c r="A55" s="10" t="inlineStr">
        <is>
          <t>a×c</t>
        </is>
      </c>
      <c r="B55" s="11">
        <f>B48*B50</f>
        <v/>
      </c>
      <c r="C55" s="12" t="inlineStr">
        <is>
          <t>'=B48*B50</t>
        </is>
      </c>
    </row>
    <row r="56">
      <c r="A56" s="10" t="inlineStr">
        <is>
          <t>b×c</t>
        </is>
      </c>
      <c r="B56" s="11">
        <f>B49*B50</f>
        <v/>
      </c>
      <c r="C56" s="12" t="inlineStr">
        <is>
          <t>'=B49*B50</t>
        </is>
      </c>
    </row>
    <row r="57">
      <c r="A57" s="14" t="inlineStr">
        <is>
          <t>預測 ŷ（DPPH 清除率%）</t>
        </is>
      </c>
      <c r="B57" s="15">
        <f>B24+B48*B25+B49*B26+B50*B27+B51*B28+B52*B29+B53*B30+B54*B31+B55*B32+B56*B33</f>
        <v/>
      </c>
      <c r="C57" s="12" t="inlineStr">
        <is>
          <t>'=B24+B48*B25+B49*B26+B50*B27+B51*B28+B52*B29+B53*B30+B54*B31+B55*B32+B56*B33</t>
        </is>
      </c>
      <c r="D57" s="13" t="inlineStr">
        <is>
          <t>代入二階模型的 10 個係數與這個條件的 a/b/c</t>
        </is>
      </c>
    </row>
    <row r="59">
      <c r="A59" s="13" t="inlineStr">
        <is>
          <t>駐點座標與特徵值需要解 3×3 矩陣，Excel 用 MINVERSE/MMULT 或 Solver 也能做但很繁瑣；本章用 R 的 solve()、eigen() 一步到位，這正是「何時該升級到 R」的示範。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10" t="inlineStr">
        <is>
          <t>2^3：效應 effect_A</t>
        </is>
      </c>
      <c r="B2" s="20">
        <f>'2^3因子設計'!B20</f>
        <v/>
      </c>
      <c r="C2" s="20" t="n">
        <v>11.275</v>
      </c>
      <c r="D2" s="21">
        <f>IF(ABS(B2-C2)&lt;=0.0056375,"✓","✗")</f>
        <v/>
      </c>
      <c r="E2" s="22" t="inlineStr">
        <is>
          <t>'2^3因子設計'!B20</t>
        </is>
      </c>
    </row>
    <row r="3">
      <c r="A3" s="10" t="inlineStr">
        <is>
          <t>2^3：效應 effect_B</t>
        </is>
      </c>
      <c r="B3" s="20">
        <f>'2^3因子設計'!B23</f>
        <v/>
      </c>
      <c r="C3" s="20" t="n">
        <v>6.675</v>
      </c>
      <c r="D3" s="21">
        <f>IF(ABS(B3-C3)&lt;=0.0033375,"✓","✗")</f>
        <v/>
      </c>
      <c r="E3" s="22" t="inlineStr">
        <is>
          <t>'2^3因子設計'!B23</t>
        </is>
      </c>
    </row>
    <row r="4">
      <c r="A4" s="10" t="inlineStr">
        <is>
          <t>2^3：效應 effect_AB</t>
        </is>
      </c>
      <c r="B4" s="20">
        <f>'2^3因子設計'!B29</f>
        <v/>
      </c>
      <c r="C4" s="20" t="n">
        <v>4.075</v>
      </c>
      <c r="D4" s="21">
        <f>IF(ABS(B4-C4)&lt;=0.0020375000000000002,"✓","✗")</f>
        <v/>
      </c>
      <c r="E4" s="22" t="inlineStr">
        <is>
          <t>'2^3因子設計'!B29</t>
        </is>
      </c>
    </row>
    <row r="5">
      <c r="A5" s="10" t="inlineStr">
        <is>
          <t>2^3：曲率 t 值</t>
        </is>
      </c>
      <c r="B5" s="20">
        <f>'2^3因子設計'!B40</f>
        <v/>
      </c>
      <c r="C5" s="20" t="n">
        <v>32.47757579</v>
      </c>
      <c r="D5" s="21">
        <f>IF(ABS(B5-C5)&lt;=0.016238787895000002,"✓","✗")</f>
        <v/>
      </c>
      <c r="E5" s="22" t="inlineStr">
        <is>
          <t>'2^3因子設計'!B40</t>
        </is>
      </c>
    </row>
    <row r="6">
      <c r="A6" s="10" t="inlineStr">
        <is>
          <t>2^3：曲率 p 值</t>
        </is>
      </c>
      <c r="B6" s="20">
        <f>'2^3因子設計'!B41</f>
        <v/>
      </c>
      <c r="C6" s="20" t="n">
        <v>6.415635344000001e-05</v>
      </c>
      <c r="D6" s="21">
        <f>IF(ABS(B6-C6)&lt;=1e-09,"✓","✗")</f>
        <v/>
      </c>
      <c r="E6" s="22" t="inlineStr">
        <is>
          <t>'2^3因子設計'!B41</t>
        </is>
      </c>
    </row>
    <row r="7">
      <c r="A7" s="10" t="inlineStr">
        <is>
          <t>CCD：Intercept</t>
        </is>
      </c>
      <c r="B7" s="20">
        <f>'CCD二階模型'!B24</f>
        <v/>
      </c>
      <c r="C7" s="20" t="n">
        <v>59.939778091</v>
      </c>
      <c r="D7" s="21">
        <f>IF(ABS(B7-C7)&lt;=0.029969889045500003,"✓","✗")</f>
        <v/>
      </c>
      <c r="E7" s="22" t="inlineStr">
        <is>
          <t>'CCD二階模型'!B24</t>
        </is>
      </c>
    </row>
    <row r="8">
      <c r="A8" s="10" t="inlineStr">
        <is>
          <t>CCD：coef_A</t>
        </is>
      </c>
      <c r="B8" s="20">
        <f>'CCD二階模型'!B25</f>
        <v/>
      </c>
      <c r="C8" s="20" t="n">
        <v>5.052711714</v>
      </c>
      <c r="D8" s="21">
        <f>IF(ABS(B8-C8)&lt;=0.002526355857,"✓","✗")</f>
        <v/>
      </c>
      <c r="E8" s="22" t="inlineStr">
        <is>
          <t>'CCD二階模型'!B25</t>
        </is>
      </c>
    </row>
    <row r="9">
      <c r="A9" s="10" t="inlineStr">
        <is>
          <t>CCD：coef_BC</t>
        </is>
      </c>
      <c r="B9" s="20">
        <f>'CCD二階模型'!B33</f>
        <v/>
      </c>
      <c r="C9" s="20" t="n">
        <v>0.5</v>
      </c>
      <c r="D9" s="21">
        <f>IF(ABS(B9-C9)&lt;=0.00025,"✓","✗")</f>
        <v/>
      </c>
      <c r="E9" s="22" t="inlineStr">
        <is>
          <t>'CCD二階模型'!B33</t>
        </is>
      </c>
    </row>
    <row r="10">
      <c r="A10" s="10" t="inlineStr">
        <is>
          <t>CCD：預測 ŷ0（駐點）</t>
        </is>
      </c>
      <c r="B10" s="20">
        <f>'CCD二階模型'!B57</f>
        <v/>
      </c>
      <c r="C10" s="20" t="n">
        <v>61.79752003</v>
      </c>
      <c r="D10" s="21">
        <f>IF(ABS(B10-C10)&lt;=0.030898760015000002,"✓","✗")</f>
        <v/>
      </c>
      <c r="E10" s="22" t="inlineStr">
        <is>
          <t>'CCD二階模型'!B57</t>
        </is>
      </c>
    </row>
    <row r="11">
      <c r="A11" s="10" t="inlineStr">
        <is>
          <t>CCD：殘差 SS</t>
        </is>
      </c>
      <c r="B11" s="20">
        <f>'CCD二階模型'!B37</f>
        <v/>
      </c>
      <c r="C11" s="20" t="n">
        <v>11.80544438</v>
      </c>
      <c r="D11" s="21">
        <f>IF(ABS(B11-C11)&lt;=0.005902722190000001,"✓","✗")</f>
        <v/>
      </c>
      <c r="E11" s="22" t="inlineStr">
        <is>
          <t>'CCD二階模型'!B37</t>
        </is>
      </c>
    </row>
    <row r="12">
      <c r="A12" s="10" t="inlineStr">
        <is>
          <t>CCD：純誤差 SS</t>
        </is>
      </c>
      <c r="B12" s="20">
        <f>'CCD二階模型'!B38</f>
        <v/>
      </c>
      <c r="C12" s="20" t="n">
        <v>5.553333333</v>
      </c>
      <c r="D12" s="21">
        <f>IF(ABS(B12-C12)&lt;=0.0027766666665000003,"✓","✗")</f>
        <v/>
      </c>
      <c r="E12" s="22" t="inlineStr">
        <is>
          <t>'CCD二階模型'!B38</t>
        </is>
      </c>
    </row>
    <row r="13">
      <c r="A13" s="10" t="inlineStr">
        <is>
          <t>CCD：失擬 SS</t>
        </is>
      </c>
      <c r="B13" s="20">
        <f>'CCD二階模型'!B39</f>
        <v/>
      </c>
      <c r="C13" s="20" t="n">
        <v>6.252111046</v>
      </c>
      <c r="D13" s="21">
        <f>IF(ABS(B13-C13)&lt;=0.003126055523,"✓","✗")</f>
        <v/>
      </c>
      <c r="E13" s="22" t="inlineStr">
        <is>
          <t>'CCD二階模型'!B39</t>
        </is>
      </c>
    </row>
    <row r="14">
      <c r="A14" s="10" t="inlineStr">
        <is>
          <t>CCD：F（失擬）</t>
        </is>
      </c>
      <c r="B14" s="20">
        <f>'CCD二階模型'!B43</f>
        <v/>
      </c>
      <c r="C14" s="20" t="n">
        <v>1.12583032</v>
      </c>
      <c r="D14" s="21">
        <f>IF(ABS(B14-C14)&lt;=0.00056291516,"✓","✗")</f>
        <v/>
      </c>
      <c r="E14" s="22" t="inlineStr">
        <is>
          <t>'CCD二階模型'!B43</t>
        </is>
      </c>
    </row>
    <row r="15">
      <c r="A15" s="10" t="inlineStr">
        <is>
          <t>CCD：p（失擬）</t>
        </is>
      </c>
      <c r="B15" s="20">
        <f>'CCD二階模型'!B44</f>
        <v/>
      </c>
      <c r="C15" s="20" t="n">
        <v>0.449844969</v>
      </c>
      <c r="D15" s="21">
        <f>IF(ABS(B15-C15)&lt;=0.0002249224845,"✓","✗")</f>
        <v/>
      </c>
      <c r="E15" s="22" t="inlineStr">
        <is>
          <t>'CCD二階模型'!B44</t>
        </is>
      </c>
    </row>
    <row r="17">
      <c r="A17" s="13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