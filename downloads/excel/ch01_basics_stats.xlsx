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描述統計" sheetId="2" state="visible" r:id="rId2"/>
    <sheet xmlns:r="http://schemas.openxmlformats.org/officeDocument/2006/relationships" name="準確度與相對誤差" sheetId="3" state="visible" r:id="rId3"/>
    <sheet xmlns:r="http://schemas.openxmlformats.org/officeDocument/2006/relationships" name="乾物質習題" sheetId="4" state="visible" r:id="rId4"/>
    <sheet xmlns:r="http://schemas.openxmlformats.org/officeDocument/2006/relationships" name="對照R答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2" fontId="6" fillId="3" borderId="1" pivotButton="0" quotePrefix="0" xfId="0"/>
    <xf numFmtId="0" fontId="6" fillId="0" borderId="1" pivotButton="0" quotePrefix="0" xfId="0"/>
    <xf numFmtId="1" fontId="6" fillId="0" borderId="1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1" pivotButton="0" quotePrefix="0" xfId="0"/>
    <xf numFmtId="164" fontId="8" fillId="4" borderId="1" pivotButton="0" quotePrefix="0" xfId="0"/>
    <xf numFmtId="164" fontId="6" fillId="0" borderId="1" pivotButton="0" quotePrefix="0" xfId="0"/>
    <xf numFmtId="165" fontId="8" fillId="4" borderId="1" pivotButton="0" quotePrefix="0" xfId="0"/>
    <xf numFmtId="2" fontId="6" fillId="0" borderId="1" pivotButton="0" quotePrefix="0" xfId="0"/>
    <xf numFmtId="0" fontId="9" fillId="0" borderId="0" applyAlignment="1" pivotButton="0" quotePrefix="0" xfId="0">
      <alignment vertical="top" wrapText="1"/>
    </xf>
    <xf numFmtId="2" fontId="8" fillId="4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Ch1 統計入門：平均數、標準差、變異係數與相對誤差</t>
        </is>
      </c>
    </row>
    <row r="2">
      <c r="A2" s="2" t="inlineStr">
        <is>
          <t>對應網頁：ch01.html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生漢堡肉水分測了 4 次（Nielsen Table 4.1：64.53、64.45、65.10、64.78%）。「描述統計」工作表一步一步算出報告要寫的『一個共識值 ＋ 一個散布程度』：平均數、中位數、標準差 SD、變異係數 CV%。</t>
        </is>
      </c>
    </row>
    <row r="6">
      <c r="A6" s="4" t="inlineStr">
        <is>
          <t>「準確度與相對誤差」工作表示範：如果已知真值（例如標準品 65.05%），怎麼算絕對誤差 Eabs 與相對誤差 %Erel。</t>
        </is>
      </c>
    </row>
    <row r="7">
      <c r="A7" s="4" t="inlineStr">
        <is>
          <t>「乾物質習題」工作表用同一套公式練習 Nielsen 章末習題的數據，其中一筆數字（82.20）看起來特別低——先別急著判斷是不是異常值，第 5 章會教你用 Dixon Q 檢定客觀判斷能不能剔除。</t>
        </is>
      </c>
    </row>
    <row r="8">
      <c r="A8" s="3" t="inlineStr">
        <is>
          <t>怎麼用</t>
        </is>
      </c>
    </row>
    <row r="9">
      <c r="A9" s="4" t="inlineStr">
        <is>
          <t>1.「描述統計」：左邊黃色是原始數據，右邊每一列是一個公式，C 欄會印出公式原文給你對照。</t>
        </is>
      </c>
    </row>
    <row r="10">
      <c r="A10" s="4" t="inlineStr">
        <is>
          <t>2. 把黃色的水分數據改成你自己實驗的 3–5 次重複測定，所有結果會自動重算。</t>
        </is>
      </c>
    </row>
    <row r="11">
      <c r="A11" s="4" t="inlineStr">
        <is>
          <t>3.「準確度與相對誤差」：把黃色的『真值』改一改，看 Eabs、%Erel 怎麼跟著變、正負號怎麼變。</t>
        </is>
      </c>
    </row>
    <row r="12">
      <c r="A12" s="4" t="inlineStr">
        <is>
          <t>4.「乾物質習題」：練習同一套公式，同時觀察 82.20 這筆數字對平均與 SD 的影響有多大。</t>
        </is>
      </c>
    </row>
    <row r="13">
      <c r="A13" s="4" t="inlineStr">
        <is>
          <t>5.「對照R答案」工作表會核對 Excel 算出來的與 R 的答案是否一致。</t>
        </is>
      </c>
    </row>
    <row r="14">
      <c r="A14" s="3" t="inlineStr">
        <is>
          <t>用 Excel 資料分析工具箱算敘述統計（選用，不是必需）</t>
        </is>
      </c>
    </row>
    <row r="15">
      <c r="A15" s="4" t="inlineStr">
        <is>
          <t>啟用方式：檔案 → 選項 → 增益集 → 下拉選『Excel 增益集』→ 執行 → 勾選『分析工具箱』→ 確定。之後『資料』分頁最右邊會多一個『資料分析』按鈕。</t>
        </is>
      </c>
    </row>
    <row r="16">
      <c r="A16" s="4" t="inlineStr">
        <is>
          <t>操作：點『資料分析』→ 選『敘述統計』→ 輸入範圍框選水分 4 個數字（例如 A2:A5）→ 勾選『類別軸標記位於第一列』（如果框到標題）與『摘要統計』→ 指定輸出範圍 → 確定。</t>
        </is>
      </c>
    </row>
    <row r="17">
      <c r="A17" s="4" t="inlineStr">
        <is>
          <t>對照：輸出表的『平均值』＝ R 的 mean()／Excel 的 AVERAGE；『標準差』＝ sd()／STDEV（工具箱內部也是用 n−1，與本活頁簿一致）；『中間值』＝ median()／MEDIAN；『範圍』＝全距（最大−最小）。</t>
        </is>
      </c>
    </row>
    <row r="18">
      <c r="A18" s="4" t="inlineStr">
        <is>
          <t>⚠️ 工具箱輸出是『靜態的』快照——你改了原始數據，這張輸出表不會自動跟著變，要重新跑一次『資料分析』才會更新。本活頁簿「描述統計」工作表用的是活公式，數據一改，結果立刻自動重算，這是兩者最大的差別。</t>
        </is>
      </c>
    </row>
    <row r="19">
      <c r="A19" s="3" t="inlineStr">
        <is>
          <t>本章最重要的觀念</t>
        </is>
      </c>
    </row>
    <row r="20">
      <c r="A20" s="4" t="inlineStr">
        <is>
          <t>CV% ＝ SD ÷ 平均數 × 100，不是『平均 ÷ 標準差』——分子分母顛倒是最常見的錯。</t>
        </is>
      </c>
    </row>
    <row r="21">
      <c r="A21" s="4" t="inlineStr">
        <is>
          <t>精密度好（SD、CV 小）不代表準確：要有已知真值（標準品、CRM）才能算 Eabs／%Erel、談準確度；相對誤差要用『真值』當分母，不是用測得值。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4" customWidth="1" min="3" max="3"/>
    <col width="60" customWidth="1" min="4" max="4"/>
  </cols>
  <sheetData>
    <row r="1">
      <c r="A1" s="5" t="inlineStr">
        <is>
          <t>水分 (%)</t>
        </is>
      </c>
    </row>
    <row r="2">
      <c r="A2" s="6" t="n">
        <v>64.53</v>
      </c>
    </row>
    <row r="3">
      <c r="A3" s="6" t="n">
        <v>64.45</v>
      </c>
    </row>
    <row r="4">
      <c r="A4" s="6" t="n">
        <v>65.09999999999999</v>
      </c>
    </row>
    <row r="5">
      <c r="A5" s="6" t="n">
        <v>64.78</v>
      </c>
    </row>
    <row r="7">
      <c r="A7" s="5" t="inlineStr">
        <is>
          <t>項目</t>
        </is>
      </c>
      <c r="B7" s="5" t="inlineStr">
        <is>
          <t>結果</t>
        </is>
      </c>
      <c r="C7" s="5" t="inlineStr">
        <is>
          <t>公式</t>
        </is>
      </c>
      <c r="D7" s="5" t="inlineStr">
        <is>
          <t>說明</t>
        </is>
      </c>
    </row>
    <row r="8">
      <c r="A8" s="7" t="inlineStr">
        <is>
          <t>n（重複次數）</t>
        </is>
      </c>
      <c r="B8" s="8">
        <f>COUNT(A2:A5)</f>
        <v/>
      </c>
      <c r="C8" s="9" t="inlineStr">
        <is>
          <t>'=COUNT(A2:A5)</t>
        </is>
      </c>
      <c r="D8" s="10" t="inlineStr">
        <is>
          <t>數一數有幾個數據</t>
        </is>
      </c>
    </row>
    <row r="9">
      <c r="A9" s="11" t="inlineStr">
        <is>
          <t>平均數 x̄</t>
        </is>
      </c>
      <c r="B9" s="12">
        <f>AVERAGE(A2:A5)</f>
        <v/>
      </c>
      <c r="C9" s="9" t="inlineStr">
        <is>
          <t>'=AVERAGE(A2:A5)</t>
        </is>
      </c>
      <c r="D9" s="10" t="inlineStr">
        <is>
          <t>報告要寫的『共識值』</t>
        </is>
      </c>
    </row>
    <row r="10">
      <c r="A10" s="7" t="inlineStr">
        <is>
          <t>中位數</t>
        </is>
      </c>
      <c r="B10" s="13">
        <f>MEDIAN(A2:A5)</f>
        <v/>
      </c>
      <c r="C10" s="9" t="inlineStr">
        <is>
          <t>'=MEDIAN(A2:A5)</t>
        </is>
      </c>
      <c r="D10" s="10" t="inlineStr">
        <is>
          <t>由小到大排中間的值，對極端值較不敏感</t>
        </is>
      </c>
    </row>
    <row r="11">
      <c r="A11" s="11" t="inlineStr">
        <is>
          <t>標準差 SD</t>
        </is>
      </c>
      <c r="B11" s="12">
        <f>_xlfn.STDEV.S(A2:A5)</f>
        <v/>
      </c>
      <c r="C11" s="9" t="inlineStr">
        <is>
          <t>'=STDEV.S(A2:A5)</t>
        </is>
      </c>
      <c r="D11" s="10" t="inlineStr">
        <is>
          <t>數據彼此合不合群；分母是 n−1</t>
        </is>
      </c>
    </row>
    <row r="12">
      <c r="A12" s="11" t="inlineStr">
        <is>
          <t>變異係數 CV%</t>
        </is>
      </c>
      <c r="B12" s="14">
        <f>B11/B9*100</f>
        <v/>
      </c>
      <c r="C12" s="9" t="inlineStr">
        <is>
          <t>'=B11/B9*100</t>
        </is>
      </c>
      <c r="D12" s="10" t="inlineStr">
        <is>
          <t>SD÷平均×100；不是平均÷SD！</t>
        </is>
      </c>
    </row>
    <row r="13">
      <c r="A13" s="7" t="inlineStr">
        <is>
          <t>全距 Range</t>
        </is>
      </c>
      <c r="B13" s="15">
        <f>MAX(A2:A5)-MIN(A2:A5)</f>
        <v/>
      </c>
      <c r="C13" s="9" t="inlineStr">
        <is>
          <t>'=MAX(A2:A5)-MIN(A2:A5)</t>
        </is>
      </c>
      <c r="D13" s="10" t="inlineStr">
        <is>
          <t>最大−最小，只是參考用</t>
        </is>
      </c>
    </row>
    <row r="15">
      <c r="A15" s="16" t="inlineStr">
        <is>
          <t>報告寫法：64.72 ± 0.29 %（mean ± SD，n=4）；CV=0.45%，精密度良好（經驗法則 CV&lt;5%）。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4" customWidth="1" min="3" max="3"/>
    <col width="60" customWidth="1" min="4" max="4"/>
  </cols>
  <sheetData>
    <row r="1">
      <c r="A1" s="5" t="inlineStr">
        <is>
          <t>項目</t>
        </is>
      </c>
      <c r="B1" s="5" t="inlineStr">
        <is>
          <t>結果</t>
        </is>
      </c>
      <c r="C1" s="5" t="inlineStr">
        <is>
          <t>公式</t>
        </is>
      </c>
      <c r="D1" s="5" t="inlineStr">
        <is>
          <t>說明</t>
        </is>
      </c>
    </row>
    <row r="2">
      <c r="A2" s="7" t="inlineStr">
        <is>
          <t>平均數 x̄（引用描述統計）</t>
        </is>
      </c>
      <c r="B2" s="13">
        <f>'描述統計'!B9</f>
        <v/>
      </c>
      <c r="C2" s="9" t="inlineStr">
        <is>
          <t>'='描述統計'!B9</t>
        </is>
      </c>
      <c r="D2" s="10" t="inlineStr">
        <is>
          <t>與左表同一組水分數據</t>
        </is>
      </c>
    </row>
    <row r="3">
      <c r="A3" s="7" t="inlineStr">
        <is>
          <t>真值 T（標準品）</t>
        </is>
      </c>
      <c r="B3" s="6" t="n">
        <v>65.05</v>
      </c>
      <c r="D3" s="10" t="inlineStr">
        <is>
          <t>可以改成你自己方法確效用的標準品真值</t>
        </is>
      </c>
    </row>
    <row r="4">
      <c r="A4" s="11" t="inlineStr">
        <is>
          <t>絕對誤差 Eabs</t>
        </is>
      </c>
      <c r="B4" s="14">
        <f>B2-B3</f>
        <v/>
      </c>
      <c r="C4" s="9" t="inlineStr">
        <is>
          <t>'=B2-B3</t>
        </is>
      </c>
      <c r="D4" s="10" t="inlineStr">
        <is>
          <t>測得值−真值；負號＝結果偏低</t>
        </is>
      </c>
    </row>
    <row r="5">
      <c r="A5" s="11" t="inlineStr">
        <is>
          <t>相對誤差 %Erel</t>
        </is>
      </c>
      <c r="B5" s="14">
        <f>B4/B3*100</f>
        <v/>
      </c>
      <c r="C5" s="9" t="inlineStr">
        <is>
          <t>'=B4/B3*100</t>
        </is>
      </c>
      <c r="D5" s="10" t="inlineStr">
        <is>
          <t>Eabs÷真值×100（分母一定是真值，不是測得值）</t>
        </is>
      </c>
    </row>
    <row r="7">
      <c r="A7" s="16" t="inlineStr">
        <is>
          <t>正負號要保留：−0.51% 代表結果偏低 0.51%，方向資訊很重要，不能只看絕對值。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4" customWidth="1" min="3" max="3"/>
    <col width="60" customWidth="1" min="4" max="4"/>
  </cols>
  <sheetData>
    <row r="1">
      <c r="A1" s="5" t="inlineStr">
        <is>
          <t>乾物質 (%)</t>
        </is>
      </c>
    </row>
    <row r="2">
      <c r="A2" s="6" t="n">
        <v>88.62</v>
      </c>
    </row>
    <row r="3">
      <c r="A3" s="6" t="n">
        <v>88.73999999999999</v>
      </c>
    </row>
    <row r="4">
      <c r="A4" s="6" t="n">
        <v>89.2</v>
      </c>
    </row>
    <row r="5">
      <c r="A5" s="6" t="n">
        <v>82.2</v>
      </c>
    </row>
    <row r="7">
      <c r="A7" s="5" t="inlineStr">
        <is>
          <t>項目</t>
        </is>
      </c>
      <c r="B7" s="5" t="inlineStr">
        <is>
          <t>結果</t>
        </is>
      </c>
      <c r="C7" s="5" t="inlineStr">
        <is>
          <t>公式</t>
        </is>
      </c>
      <c r="D7" s="5" t="inlineStr">
        <is>
          <t>說明</t>
        </is>
      </c>
    </row>
    <row r="8">
      <c r="A8" s="7" t="inlineStr">
        <is>
          <t>n（重複次數）</t>
        </is>
      </c>
      <c r="B8" s="8">
        <f>COUNT(A2:A5)</f>
        <v/>
      </c>
      <c r="C8" s="9" t="inlineStr">
        <is>
          <t>'=COUNT(A2:A5)</t>
        </is>
      </c>
    </row>
    <row r="9">
      <c r="A9" s="11" t="inlineStr">
        <is>
          <t>平均數 x̄</t>
        </is>
      </c>
      <c r="B9" s="12">
        <f>AVERAGE(A2:A5)</f>
        <v/>
      </c>
      <c r="C9" s="9" t="inlineStr">
        <is>
          <t>'=AVERAGE(A2:A5)</t>
        </is>
      </c>
    </row>
    <row r="10">
      <c r="A10" s="11" t="inlineStr">
        <is>
          <t>標準差 SD</t>
        </is>
      </c>
      <c r="B10" s="12">
        <f>_xlfn.STDEV.S(A2:A5)</f>
        <v/>
      </c>
      <c r="C10" s="9" t="inlineStr">
        <is>
          <t>'=STDEV.S(A2:A5)</t>
        </is>
      </c>
    </row>
    <row r="11">
      <c r="A11" s="11" t="inlineStr">
        <is>
          <t>變異係數 CV%</t>
        </is>
      </c>
      <c r="B11" s="17">
        <f>B10/B9*100</f>
        <v/>
      </c>
      <c r="C11" s="9" t="inlineStr">
        <is>
          <t>'=B10/B9*100</t>
        </is>
      </c>
      <c r="D11" s="10" t="inlineStr">
        <is>
          <t>CV&lt;5% 但 82.20 看起來特別低……</t>
        </is>
      </c>
    </row>
    <row r="13">
      <c r="A13" s="16" t="inlineStr">
        <is>
          <t>82.20 是不是異常值？CV 看起來還算可以（&lt;5%），但這是因為平均與 SD 都被它拖動了。先別急著刪——第 5 章的 Dixon Q 檢定會給你客觀的答案（劇透：可以捨棄，捨棄後 mean=88.85、SD=0.31）。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7" t="inlineStr">
        <is>
          <t>水分平均數 x̄</t>
        </is>
      </c>
      <c r="B2" s="18">
        <f>'描述統計'!B9</f>
        <v/>
      </c>
      <c r="C2" s="18" t="n">
        <v>64.715</v>
      </c>
      <c r="D2" s="19">
        <f>IF(ABS(B2-C2)&lt;=0.032357500000000004,"✓","✗")</f>
        <v/>
      </c>
      <c r="E2" s="20" t="inlineStr">
        <is>
          <t>'描述統計'!B9</t>
        </is>
      </c>
    </row>
    <row r="3">
      <c r="A3" s="7" t="inlineStr">
        <is>
          <t>水分標準差 SD</t>
        </is>
      </c>
      <c r="B3" s="18">
        <f>'描述統計'!B11</f>
        <v/>
      </c>
      <c r="C3" s="18" t="n">
        <v>0.292631736715844</v>
      </c>
      <c r="D3" s="19">
        <f>IF(ABS(B3-C3)&lt;=0.00014631586835792202,"✓","✗")</f>
        <v/>
      </c>
      <c r="E3" s="20" t="inlineStr">
        <is>
          <t>'描述統計'!B11</t>
        </is>
      </c>
    </row>
    <row r="4">
      <c r="A4" s="7" t="inlineStr">
        <is>
          <t>水分變異係數 CV%</t>
        </is>
      </c>
      <c r="B4" s="18">
        <f>'描述統計'!B12</f>
        <v/>
      </c>
      <c r="C4" s="18" t="n">
        <v>0.452185330627898</v>
      </c>
      <c r="D4" s="19">
        <f>IF(ABS(B4-C4)&lt;=0.000226092665313949,"✓","✗")</f>
        <v/>
      </c>
      <c r="E4" s="20" t="inlineStr">
        <is>
          <t>'描述統計'!B12</t>
        </is>
      </c>
    </row>
    <row r="5">
      <c r="A5" s="7" t="inlineStr">
        <is>
          <t>相對誤差 %Erel（真值65.05）</t>
        </is>
      </c>
      <c r="B5" s="18">
        <f>'準確度與相對誤差'!B5</f>
        <v/>
      </c>
      <c r="C5" s="18" t="n">
        <v>-0.5149884704073689</v>
      </c>
      <c r="D5" s="19">
        <f>IF(ABS(B5-C5)&lt;=0.0002574942352036845,"✓","✗")</f>
        <v/>
      </c>
      <c r="E5" s="20" t="inlineStr">
        <is>
          <t>'準確度與相對誤差'!B5</t>
        </is>
      </c>
    </row>
    <row r="6">
      <c r="A6" s="7" t="inlineStr">
        <is>
          <t>乾物質平均數 x̄</t>
        </is>
      </c>
      <c r="B6" s="18">
        <f>'乾物質習題'!B9</f>
        <v/>
      </c>
      <c r="C6" s="18" t="n">
        <v>87.19</v>
      </c>
      <c r="D6" s="19">
        <f>IF(ABS(B6-C6)&lt;=0.043595,"✓","✗")</f>
        <v/>
      </c>
      <c r="E6" s="20" t="inlineStr">
        <is>
          <t>'乾物質習題'!B9</t>
        </is>
      </c>
    </row>
    <row r="7">
      <c r="A7" s="7" t="inlineStr">
        <is>
          <t>乾物質標準差 SD</t>
        </is>
      </c>
      <c r="B7" s="18">
        <f>'乾物質習題'!B10</f>
        <v/>
      </c>
      <c r="C7" s="18" t="n">
        <v>3.33604556323801</v>
      </c>
      <c r="D7" s="19">
        <f>IF(ABS(B7-C7)&lt;=0.001668022781619005,"✓","✗")</f>
        <v/>
      </c>
      <c r="E7" s="20" t="inlineStr">
        <is>
          <t>'乾物質習題'!B10</t>
        </is>
      </c>
    </row>
    <row r="8">
      <c r="A8" s="7" t="inlineStr">
        <is>
          <t>乾物質變異係數 CV%</t>
        </is>
      </c>
      <c r="B8" s="18">
        <f>'乾物質習題'!B11</f>
        <v/>
      </c>
      <c r="C8" s="18" t="n">
        <v>3.82617910682189</v>
      </c>
      <c r="D8" s="19">
        <f>IF(ABS(B8-C8)&lt;=0.001913089553410945,"✓","✗")</f>
        <v/>
      </c>
      <c r="E8" s="20" t="inlineStr">
        <is>
          <t>'乾物質習題'!B11</t>
        </is>
      </c>
    </row>
    <row r="10">
      <c r="A10" s="10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2026-09-17T18:08:36Z</dcterms:created>
  <dcterms:modified xmlns:dcterms="http://purl.org/dc/terms/" xmlns:xsi="http://www.w3.org/2001/XMLSchema-instance" xsi:type="dcterms:W3CDTF">2026-09-17T18:08:36Z</dcterms:modified>
</cp:coreProperties>
</file>