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誤差vs不確定度" sheetId="2" state="visible" r:id="rId2"/>
    <sheet xmlns:r="http://schemas.openxmlformats.org/officeDocument/2006/relationships" name="魚骨圖來源→合成" sheetId="3" state="visible" r:id="rId3"/>
    <sheet xmlns:r="http://schemas.openxmlformats.org/officeDocument/2006/relationships" name="對照R答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00"/>
    <numFmt numFmtId="165" formatCode="0.0000"/>
    <numFmt numFmtId="166" formatCode="0.0"/>
    <numFmt numFmtId="167" formatCode="0.0%"/>
  </numFmts>
  <fonts count="10">
    <font>
      <name val="Calibri"/>
      <family val="2"/>
      <color theme="1"/>
      <sz val="11"/>
      <scheme val="minor"/>
    </font>
    <font>
      <name val="Microsoft JhengHei"/>
      <b val="1"/>
      <color rgb="000F4C81"/>
      <sz val="16"/>
    </font>
    <font>
      <name val="Microsoft JhengHei"/>
      <color rgb="0064748B"/>
      <sz val="10"/>
    </font>
    <font>
      <name val="Microsoft JhengHei"/>
      <b val="1"/>
      <color rgb="000F4C81"/>
      <sz val="12"/>
    </font>
    <font>
      <name val="Microsoft JhengHei"/>
      <sz val="11"/>
    </font>
    <font>
      <name val="Microsoft JhengHei"/>
      <b val="1"/>
      <color rgb="00FFFFFF"/>
    </font>
    <font>
      <name val="Microsoft JhengHei"/>
    </font>
    <font>
      <name val="Consolas"/>
      <color rgb="001565C0"/>
      <sz val="10"/>
    </font>
    <font>
      <name val="Microsoft JhengHei"/>
      <b val="1"/>
    </font>
    <font>
      <name val="Microsoft JhengHei"/>
      <b val="1"/>
      <sz val="11"/>
    </font>
  </fonts>
  <fills count="5">
    <fill>
      <patternFill/>
    </fill>
    <fill>
      <patternFill patternType="gray125"/>
    </fill>
    <fill>
      <patternFill patternType="solid">
        <fgColor rgb="000F4C81"/>
      </patternFill>
    </fill>
    <fill>
      <patternFill patternType="solid">
        <fgColor rgb="00FFF4C2"/>
      </patternFill>
    </fill>
    <fill>
      <patternFill patternType="solid">
        <fgColor rgb="00E3F5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164" fontId="6" fillId="3" borderId="1" pivotButton="0" quotePrefix="0" xfId="0"/>
    <xf numFmtId="0" fontId="6" fillId="0" borderId="1" pivotButton="0" quotePrefix="0" xfId="0"/>
    <xf numFmtId="1" fontId="6" fillId="0" borderId="1" pivotButton="0" quotePrefix="0" xfId="0"/>
    <xf numFmtId="0" fontId="7" fillId="0" borderId="0" pivotButton="0" quotePrefix="0" xfId="0"/>
    <xf numFmtId="0" fontId="2" fillId="0" borderId="0" applyAlignment="1" pivotButton="0" quotePrefix="0" xfId="0">
      <alignment vertical="top" wrapText="1"/>
    </xf>
    <xf numFmtId="0" fontId="8" fillId="0" borderId="1" pivotButton="0" quotePrefix="0" xfId="0"/>
    <xf numFmtId="165" fontId="8" fillId="4" borderId="1" pivotButton="0" quotePrefix="0" xfId="0"/>
    <xf numFmtId="166" fontId="6" fillId="3" borderId="1" pivotButton="0" quotePrefix="0" xfId="0"/>
    <xf numFmtId="165" fontId="6" fillId="0" borderId="1" pivotButton="0" quotePrefix="0" xfId="0"/>
    <xf numFmtId="0" fontId="9" fillId="0" borderId="0" applyAlignment="1" pivotButton="0" quotePrefix="0" xfId="0">
      <alignment vertical="top" wrapText="1"/>
    </xf>
    <xf numFmtId="165" fontId="6" fillId="3" borderId="1" pivotButton="0" quotePrefix="0" xfId="0"/>
    <xf numFmtId="164" fontId="6" fillId="0" borderId="1" pivotButton="0" quotePrefix="0" xfId="0"/>
    <xf numFmtId="167" fontId="6" fillId="0" borderId="1" pivotButton="0" quotePrefix="0" xfId="0"/>
    <xf numFmtId="0" fontId="2" fillId="0" borderId="1" pivotButton="0" quotePrefix="0" xfId="0"/>
    <xf numFmtId="164" fontId="8" fillId="4" borderId="1" pivotButton="0" quotePrefix="0" xfId="0"/>
    <xf numFmtId="165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Ch6 量測不確定度的概念：誤差 vs 不確定度</t>
        </is>
      </c>
    </row>
    <row r="2">
      <c r="A2" s="2" t="inlineStr">
        <is>
          <t>對應網頁：ch06.html　｜　黃色儲存格＝可以改成你自己的數據；其他是公式，請不要直接覆蓋。</t>
        </is>
      </c>
    </row>
    <row r="4">
      <c r="A4" s="3" t="inlineStr">
        <is>
          <t>這本活頁簿在做什麼</t>
        </is>
      </c>
    </row>
    <row r="5">
      <c r="A5" s="4" t="inlineStr">
        <is>
          <t>情境：某方法的真值是 100.0 mg/L，但方法本身有 +2 的系統偏倚(bias)，隨機效應的標準差約 3。「誤差vs不確定度」工作表用 30 次模擬量測（與 R 的 set.seed(123) 完全相同的 30 個數字）示範：「誤差」是單一個看不到的數（觀測值 − 真值），「不確定度」是我們能估計、描述「真值大概落在哪個範圍」的區間。</t>
        </is>
      </c>
    </row>
    <row r="6">
      <c r="A6" s="4" t="inlineStr">
        <is>
          <t>「魚骨圖來源→合成」工作表示範 GUM 流程的 Step2→Step4：先把每個不確定度來源（校正曲線、稀釋玻璃器皿、基質效應…）各自換算成標準不確定度 u，再用平方和開根號合成——這就是魚骨圖「支流匯入主流」的數學版本。</t>
        </is>
      </c>
    </row>
    <row r="7">
      <c r="A7" s="3" t="inlineStr">
        <is>
          <t>怎麼用</t>
        </is>
      </c>
    </row>
    <row r="8">
      <c r="A8" s="4" t="inlineStr">
        <is>
          <t>1.「誤差vs不確定度」裡黃色的 30 個數字是模擬量測值，可以改成你自己的重複測定數據（例如改成 5~10 筆），看平均、SD 怎麼變。</t>
        </is>
      </c>
    </row>
    <row r="9">
      <c r="A9" s="4" t="inlineStr">
        <is>
          <t>2. B37 的「真值」是黃色可改——正常實務中你不會知道真值，這裡刻意示範「有真值可對」的模擬情境。</t>
        </is>
      </c>
    </row>
    <row r="10">
      <c r="A10" s="4" t="inlineStr">
        <is>
          <t>3.「魚骨圖來源→合成」裡每個來源的數值(B欄)都是黃色，改動後 u、u²、占比、合成 uc 會自動重算。</t>
        </is>
      </c>
    </row>
    <row r="11">
      <c r="A11" s="4" t="inlineStr">
        <is>
          <t>4.「對照R答案」核對 Excel 算出來的與 R 算出來的是否一致。</t>
        </is>
      </c>
    </row>
    <row r="12">
      <c r="A12" s="3" t="inlineStr">
        <is>
          <t>這章最重要的兩個觀念</t>
        </is>
      </c>
    </row>
    <row r="13">
      <c r="A13" s="4" t="inlineStr">
        <is>
          <t>誤差 = 觀測值 − 真值，是一個「有正負號、實務上不可知」的單一數字；隨機誤差可以靠增加重複次數縮小，但系統誤差不會。不確定度是「描述真值可能落在哪個範圍」的參數，永遠是正值、永遠是一段區間；就算不知道真值，也能靠重複量測或既有資訊（證書、規格）估計出來。</t>
        </is>
      </c>
    </row>
    <row r="14">
      <c r="A14" s="4" t="inlineStr">
        <is>
          <t>另一個重點：抄錄數字打錯這類「粗大誤差 spurious error」一旦確認，應整筆刪除，不能納入任何統計計算——不確定度處理的是隨機與系統效應，不是處理人為疏失。</t>
        </is>
      </c>
    </row>
    <row r="15">
      <c r="A15" s="3" t="inlineStr">
        <is>
          <t>Excel 資料分析工具箱：敘述統計 (Descriptive Statistics)</t>
        </is>
      </c>
    </row>
    <row r="16">
      <c r="A16" s="4" t="inlineStr">
        <is>
          <t>「誤差vs不確定度」的平均與 SD 也可以用工具箱驗證，不必自己打 AVERAGE/STDEV.S：</t>
        </is>
      </c>
    </row>
    <row r="17">
      <c r="A17" s="4" t="inlineStr">
        <is>
          <t>① 檔案→選項→增益集→管理「Excel 增益集」→勾選「分析工具箱」→確定，資料頁籤最右邊會出現「資料分析」。</t>
        </is>
      </c>
    </row>
    <row r="18">
      <c r="A18" s="4" t="inlineStr">
        <is>
          <t>② 資料分析→選「敘述統計」→輸入範圍框選 A2:A31→勾選「摘要統計」→輸出範圍指到空白處→確定。</t>
        </is>
      </c>
    </row>
    <row r="19">
      <c r="A19" s="4" t="inlineStr">
        <is>
          <t>③ 輸出表的「平均」對應本活頁簿 B35（=AVERAGE）；「標準差」對應 B36（=STDEV.S）。</t>
        </is>
      </c>
    </row>
    <row r="20">
      <c r="A20" s="4" t="inlineStr">
        <is>
          <t>④ 注意：工具箱輸出的是「當時那次」算出來的固定數字表格，改動 A2:A31 的數據它不會跟著變；本活頁簿的公式版（B35、B36…）改了數據會立刻重算，這是兩者最大的差別。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46" customWidth="1" min="3" max="3"/>
    <col width="60" customWidth="1" min="4" max="4"/>
  </cols>
  <sheetData>
    <row r="1">
      <c r="A1" s="5" t="inlineStr">
        <is>
          <t>模擬量測值 (mg/L)</t>
        </is>
      </c>
    </row>
    <row r="2">
      <c r="A2" s="6" t="n">
        <v>100.318573</v>
      </c>
    </row>
    <row r="3">
      <c r="A3" s="6" t="n">
        <v>101.309468</v>
      </c>
    </row>
    <row r="4">
      <c r="A4" s="6" t="n">
        <v>106.676125</v>
      </c>
    </row>
    <row r="5">
      <c r="A5" s="6" t="n">
        <v>102.211525</v>
      </c>
    </row>
    <row r="6">
      <c r="A6" s="6" t="n">
        <v>102.387863</v>
      </c>
    </row>
    <row r="7">
      <c r="A7" s="6" t="n">
        <v>107.145195</v>
      </c>
    </row>
    <row r="8">
      <c r="A8" s="6" t="n">
        <v>103.382749</v>
      </c>
    </row>
    <row r="9">
      <c r="A9" s="6" t="n">
        <v>98.20481599999999</v>
      </c>
    </row>
    <row r="10">
      <c r="A10" s="6" t="n">
        <v>99.939441</v>
      </c>
    </row>
    <row r="11">
      <c r="A11" s="6" t="n">
        <v>100.663014</v>
      </c>
    </row>
    <row r="12">
      <c r="A12" s="6" t="n">
        <v>105.672245</v>
      </c>
    </row>
    <row r="13">
      <c r="A13" s="6" t="n">
        <v>103.079441</v>
      </c>
    </row>
    <row r="14">
      <c r="A14" s="6" t="n">
        <v>103.202314</v>
      </c>
    </row>
    <row r="15">
      <c r="A15" s="6" t="n">
        <v>102.332048</v>
      </c>
    </row>
    <row r="16">
      <c r="A16" s="6" t="n">
        <v>100.332477</v>
      </c>
    </row>
    <row r="17">
      <c r="A17" s="6" t="n">
        <v>107.360739</v>
      </c>
    </row>
    <row r="18">
      <c r="A18" s="6" t="n">
        <v>103.493551</v>
      </c>
    </row>
    <row r="19">
      <c r="A19" s="6" t="n">
        <v>96.100149</v>
      </c>
    </row>
    <row r="20">
      <c r="A20" s="6" t="n">
        <v>104.104068</v>
      </c>
    </row>
    <row r="21">
      <c r="A21" s="6" t="n">
        <v>100.581626</v>
      </c>
    </row>
    <row r="22">
      <c r="A22" s="6" t="n">
        <v>98.79652900000001</v>
      </c>
    </row>
    <row r="23">
      <c r="A23" s="6" t="n">
        <v>101.346075</v>
      </c>
    </row>
    <row r="24">
      <c r="A24" s="6" t="n">
        <v>98.921987</v>
      </c>
    </row>
    <row r="25">
      <c r="A25" s="6" t="n">
        <v>99.813326</v>
      </c>
    </row>
    <row r="26">
      <c r="A26" s="6" t="n">
        <v>100.124882</v>
      </c>
    </row>
    <row r="27">
      <c r="A27" s="6" t="n">
        <v>96.93992</v>
      </c>
    </row>
    <row r="28">
      <c r="A28" s="6" t="n">
        <v>104.513361</v>
      </c>
    </row>
    <row r="29">
      <c r="A29" s="6" t="n">
        <v>102.460119</v>
      </c>
    </row>
    <row r="30">
      <c r="A30" s="6" t="n">
        <v>98.585589</v>
      </c>
    </row>
    <row r="31">
      <c r="A31" s="6" t="n">
        <v>105.761445</v>
      </c>
    </row>
    <row r="33">
      <c r="A33" s="5" t="inlineStr">
        <is>
          <t>項目</t>
        </is>
      </c>
      <c r="B33" s="5" t="inlineStr">
        <is>
          <t>結果</t>
        </is>
      </c>
      <c r="C33" s="5" t="inlineStr">
        <is>
          <t>公式</t>
        </is>
      </c>
      <c r="D33" s="5" t="inlineStr">
        <is>
          <t>白話說明</t>
        </is>
      </c>
    </row>
    <row r="34">
      <c r="A34" s="7" t="inlineStr">
        <is>
          <t>n（量測次數）</t>
        </is>
      </c>
      <c r="B34" s="8">
        <f>COUNT(A2:A31)</f>
        <v/>
      </c>
      <c r="C34" s="9" t="inlineStr">
        <is>
          <t>'=COUNT(A2:A31)</t>
        </is>
      </c>
      <c r="D34" s="10" t="inlineStr">
        <is>
          <t>數一數有幾筆模擬結果</t>
        </is>
      </c>
    </row>
    <row r="35">
      <c r="A35" s="11" t="inlineStr">
        <is>
          <t>觀測平均</t>
        </is>
      </c>
      <c r="B35" s="12">
        <f>AVERAGE(A2:A31)</f>
        <v/>
      </c>
      <c r="C35" s="9" t="inlineStr">
        <is>
          <t>'=AVERAGE(A2:A31)</t>
        </is>
      </c>
      <c r="D35" s="10" t="inlineStr">
        <is>
          <t>30 次模擬結果的平均</t>
        </is>
      </c>
    </row>
    <row r="36">
      <c r="A36" s="11" t="inlineStr">
        <is>
          <t>SD（不確定度的估計）</t>
        </is>
      </c>
      <c r="B36" s="12">
        <f>_xlfn.STDEV.S(A2:A31)</f>
        <v/>
      </c>
      <c r="C36" s="9" t="inlineStr">
        <is>
          <t>'=STDEV.S(A2:A31)</t>
        </is>
      </c>
      <c r="D36" s="10" t="inlineStr">
        <is>
          <t>散布程度；把它當成這批結果的標準不確定度 u</t>
        </is>
      </c>
    </row>
    <row r="37">
      <c r="A37" s="7" t="inlineStr">
        <is>
          <t>真值（模擬情境才知道）</t>
        </is>
      </c>
      <c r="B37" s="13" t="n">
        <v>100</v>
      </c>
      <c r="D37" s="10" t="inlineStr">
        <is>
          <t>正常實務中不知道真值；這裡是模擬才能拿來對答案</t>
        </is>
      </c>
    </row>
    <row r="38">
      <c r="A38" s="11" t="inlineStr">
        <is>
          <t>誤差 = 平均 − 真值</t>
        </is>
      </c>
      <c r="B38" s="12">
        <f>B35-B37</f>
        <v/>
      </c>
      <c r="C38" s="9" t="inlineStr">
        <is>
          <t>'=B35-B37</t>
        </is>
      </c>
      <c r="D38" s="10" t="inlineStr">
        <is>
          <t>單一個數，有正負號，實務上不可知（本例因為是模擬才能算出來）</t>
        </is>
      </c>
    </row>
    <row r="39">
      <c r="A39" s="7" t="inlineStr">
        <is>
          <t>u（標準不確定度）</t>
        </is>
      </c>
      <c r="B39" s="14">
        <f>B36</f>
        <v/>
      </c>
      <c r="C39" s="9" t="inlineStr">
        <is>
          <t>'=B36</t>
        </is>
      </c>
      <c r="D39" s="10" t="inlineStr">
        <is>
          <t>把 SD 直接當成這批結果的標準不確定度</t>
        </is>
      </c>
    </row>
    <row r="40">
      <c r="A40" s="11" t="inlineStr">
        <is>
          <t>真值可能落在的下限 ≈ 平均 − 2u</t>
        </is>
      </c>
      <c r="B40" s="12">
        <f>B35-2*B39</f>
        <v/>
      </c>
      <c r="C40" s="9" t="inlineStr">
        <is>
          <t>'=B35-2*B39</t>
        </is>
      </c>
      <c r="D40" s="10" t="inlineStr">
        <is>
          <t>不確定度描述的是「一段區間」，不是單一點</t>
        </is>
      </c>
    </row>
    <row r="41">
      <c r="A41" s="11" t="inlineStr">
        <is>
          <t>真值可能落在的上限 ≈ 平均 + 2u</t>
        </is>
      </c>
      <c r="B41" s="12">
        <f>B35+2*B39</f>
        <v/>
      </c>
      <c r="C41" s="9" t="inlineStr">
        <is>
          <t>'=B35+2*B39</t>
        </is>
      </c>
      <c r="D41" s="10" t="inlineStr">
        <is>
          <t>±2u 只是示範用的粗略涵蓋區間（嚴謹作法在 ch02/ch08）</t>
        </is>
      </c>
    </row>
    <row r="43">
      <c r="A43" s="15" t="inlineStr">
        <is>
          <t>重點對照：誤差(38列)是本例才能算出的單一個數，說明「量測結果偏離真值多少」；不確定度(39~41列)是不管知不知道真值都能估計出的區間，說明「真值大概落在哪裡」。隨機誤差（SD）可靠增加重複次數縮小平均值的不確定度（見 ch02 的 SEM=SD/√n）；系統誤差（bias=2.0）不會因為多做幾次就消失，必須靠校正或加回收修正處理。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18" customWidth="1" min="4" max="4"/>
    <col width="16" customWidth="1" min="5" max="5"/>
    <col width="12" customWidth="1" min="6" max="6"/>
    <col width="12" customWidth="1" min="7" max="7"/>
    <col width="46" customWidth="1" min="8" max="8"/>
  </cols>
  <sheetData>
    <row r="1">
      <c r="A1" s="5" t="inlineStr">
        <is>
          <t>不確定度來源</t>
        </is>
      </c>
      <c r="B1" s="5" t="inlineStr">
        <is>
          <t>數值 (s 或 ±a)</t>
        </is>
      </c>
      <c r="C1" s="5" t="inlineStr">
        <is>
          <t>分布</t>
        </is>
      </c>
      <c r="D1" s="5" t="inlineStr">
        <is>
          <t>除數</t>
        </is>
      </c>
      <c r="E1" s="5" t="inlineStr">
        <is>
          <t>標準不確定度 u</t>
        </is>
      </c>
      <c r="F1" s="5" t="inlineStr">
        <is>
          <t>u²</t>
        </is>
      </c>
      <c r="G1" s="5" t="inlineStr">
        <is>
          <t>u² 占比</t>
        </is>
      </c>
      <c r="H1" s="5" t="inlineStr">
        <is>
          <t>白話說明</t>
        </is>
      </c>
    </row>
    <row r="2">
      <c r="A2" s="7" t="inlineStr">
        <is>
          <t>校正曲線內插濃度重複性（3 次進樣，Type A）</t>
        </is>
      </c>
      <c r="B2" s="16" t="n">
        <v>0.12</v>
      </c>
      <c r="C2" s="7" t="inlineStr">
        <is>
          <t>Type A（直接用 s）</t>
        </is>
      </c>
      <c r="D2" s="7" t="inlineStr">
        <is>
          <t>1</t>
        </is>
      </c>
      <c r="E2" s="17">
        <f>B2/1</f>
        <v/>
      </c>
      <c r="F2" s="17">
        <f>E2^2</f>
        <v/>
      </c>
      <c r="G2" s="18">
        <f>F2/$F$8</f>
        <v/>
      </c>
      <c r="H2" s="19" t="inlineStr">
        <is>
          <t>校正曲線每次內插出來的濃度本身就會抖動，直接用重複進樣的 s 當 u</t>
        </is>
      </c>
    </row>
    <row r="3">
      <c r="A3" s="7" t="inlineStr">
        <is>
          <t>稀釋用 10 mL 量瓶（證書 ±0.02 mL，極端值罕見）</t>
        </is>
      </c>
      <c r="B3" s="16" t="n">
        <v>0.02</v>
      </c>
      <c r="C3" s="7" t="inlineStr">
        <is>
          <t>三角形</t>
        </is>
      </c>
      <c r="D3" s="7" t="inlineStr">
        <is>
          <t>√6</t>
        </is>
      </c>
      <c r="E3" s="17">
        <f>B3/SQRT(6)</f>
        <v/>
      </c>
      <c r="F3" s="17">
        <f>E3^2</f>
        <v/>
      </c>
      <c r="G3" s="18">
        <f>F3/$F$8</f>
        <v/>
      </c>
      <c r="H3" s="19" t="inlineStr">
        <is>
          <t>有內部查核資料顯示中間值最常見 → 用三角形，除以 √6</t>
        </is>
      </c>
    </row>
    <row r="4">
      <c r="A4" s="7" t="inlineStr">
        <is>
          <t>稀釋用 5 mL 移液管（只知道 ±0.03 mL）</t>
        </is>
      </c>
      <c r="B4" s="16" t="n">
        <v>0.03</v>
      </c>
      <c r="C4" s="7" t="inlineStr">
        <is>
          <t>矩形</t>
        </is>
      </c>
      <c r="D4" s="7" t="inlineStr">
        <is>
          <t>√3</t>
        </is>
      </c>
      <c r="E4" s="17">
        <f>B4/SQRT(3)</f>
        <v/>
      </c>
      <c r="F4" s="17">
        <f>E4^2</f>
        <v/>
      </c>
      <c r="G4" s="18">
        <f>F4/$F$8</f>
        <v/>
      </c>
      <c r="H4" s="19" t="inlineStr">
        <is>
          <t>沒有額外資訊，界限內同樣可能出現 → 用矩形，除以 √3（最保守）</t>
        </is>
      </c>
    </row>
    <row r="5">
      <c r="A5" s="7" t="inlineStr">
        <is>
          <t>基質效應（經驗估計 ±0.05 mg/L，95% 信賴）</t>
        </is>
      </c>
      <c r="B5" s="16" t="n">
        <v>0.05</v>
      </c>
      <c r="C5" s="7" t="inlineStr">
        <is>
          <t>常態 (95%)</t>
        </is>
      </c>
      <c r="D5" s="7" t="inlineStr">
        <is>
          <t>NORM.S.INV(0.975)</t>
        </is>
      </c>
      <c r="E5" s="17">
        <f>B5/_xlfn.NORM.S.INV(0.975)</f>
        <v/>
      </c>
      <c r="F5" s="17">
        <f>E5^2</f>
        <v/>
      </c>
      <c r="G5" s="18">
        <f>F5/$F$8</f>
        <v/>
      </c>
      <c r="H5" s="19" t="inlineStr">
        <is>
          <t>明確寫成常態分布的中央 95% 區間 → 除以 1.96</t>
        </is>
      </c>
    </row>
    <row r="6">
      <c r="A6" s="7" t="inlineStr">
        <is>
          <t>進樣管路殘留（只知道 ±0.02 mg/L）</t>
        </is>
      </c>
      <c r="B6" s="16" t="n">
        <v>0.02</v>
      </c>
      <c r="C6" s="7" t="inlineStr">
        <is>
          <t>矩形</t>
        </is>
      </c>
      <c r="D6" s="7" t="inlineStr">
        <is>
          <t>√3</t>
        </is>
      </c>
      <c r="E6" s="17">
        <f>B6/SQRT(3)</f>
        <v/>
      </c>
      <c r="F6" s="17">
        <f>E6^2</f>
        <v/>
      </c>
      <c r="G6" s="18">
        <f>F6/$F$8</f>
        <v/>
      </c>
      <c r="H6" s="19" t="inlineStr">
        <is>
          <t>同樣沒有額外資訊 → 矩形分布</t>
        </is>
      </c>
    </row>
    <row r="8">
      <c r="A8" s="11" t="inlineStr">
        <is>
          <t>合成（平方和開根號） uc = √Σu²</t>
        </is>
      </c>
      <c r="E8" s="20">
        <f>SQRT(F8)</f>
        <v/>
      </c>
      <c r="F8" s="17">
        <f>SUM(F2:F6)</f>
        <v/>
      </c>
      <c r="H8" s="19" t="inlineStr">
        <is>
          <t>F8 是各分量 u² 的總和（Σu²）；E8 開根號後就是合成標準不確定度——這就是「魚骨圖每條支流匯合成一條主流」的算法。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2" customWidth="1" min="4" max="4"/>
    <col width="50" customWidth="1" min="5" max="5"/>
  </cols>
  <sheetData>
    <row r="1">
      <c r="A1" s="5" t="inlineStr">
        <is>
          <t>項目</t>
        </is>
      </c>
      <c r="B1" s="5" t="inlineStr">
        <is>
          <t>Excel 算出來</t>
        </is>
      </c>
      <c r="C1" s="5" t="inlineStr">
        <is>
          <t>R 的答案</t>
        </is>
      </c>
      <c r="D1" s="5" t="inlineStr">
        <is>
          <t>一致？</t>
        </is>
      </c>
      <c r="E1" s="5" t="inlineStr">
        <is>
          <t>來源儲存格</t>
        </is>
      </c>
    </row>
    <row r="2">
      <c r="A2" s="7" t="inlineStr">
        <is>
          <t>觀測平均</t>
        </is>
      </c>
      <c r="B2" s="21">
        <f>'誤差vs不確定度'!B35</f>
        <v/>
      </c>
      <c r="C2" s="21" t="n">
        <v>101.8586887</v>
      </c>
      <c r="D2" s="22">
        <f>IF(ABS(B2-C2)&lt;=0.05092934435,"✓","✗")</f>
        <v/>
      </c>
      <c r="E2" s="19" t="inlineStr">
        <is>
          <t>'誤差vs不確定度'!B35</t>
        </is>
      </c>
    </row>
    <row r="3">
      <c r="A3" s="7" t="inlineStr">
        <is>
          <t>SD（u）</t>
        </is>
      </c>
      <c r="B3" s="21">
        <f>'誤差vs不確定度'!B36</f>
        <v/>
      </c>
      <c r="C3" s="21" t="n">
        <v>2.943092117</v>
      </c>
      <c r="D3" s="22">
        <f>IF(ABS(B3-C3)&lt;=0.0014715460585,"✓","✗")</f>
        <v/>
      </c>
      <c r="E3" s="19" t="inlineStr">
        <is>
          <t>'誤差vs不確定度'!B36</t>
        </is>
      </c>
    </row>
    <row r="4">
      <c r="A4" s="7" t="inlineStr">
        <is>
          <t>誤差 = 平均−真值</t>
        </is>
      </c>
      <c r="B4" s="21">
        <f>'誤差vs不確定度'!B38</f>
        <v/>
      </c>
      <c r="C4" s="21" t="n">
        <v>1.858688732</v>
      </c>
      <c r="D4" s="22">
        <f>IF(ABS(B4-C4)&lt;=0.0009293443660000001,"✓","✗")</f>
        <v/>
      </c>
      <c r="E4" s="19" t="inlineStr">
        <is>
          <t>'誤差vs不確定度'!B38</t>
        </is>
      </c>
    </row>
    <row r="5">
      <c r="A5" s="7" t="inlineStr">
        <is>
          <t>下限 平均−2u</t>
        </is>
      </c>
      <c r="B5" s="21">
        <f>'誤差vs不確定度'!B40</f>
        <v/>
      </c>
      <c r="C5" s="21" t="n">
        <v>95.97250447</v>
      </c>
      <c r="D5" s="22">
        <f>IF(ABS(B5-C5)&lt;=0.047986252235000006,"✓","✗")</f>
        <v/>
      </c>
      <c r="E5" s="19" t="inlineStr">
        <is>
          <t>'誤差vs不確定度'!B40</t>
        </is>
      </c>
    </row>
    <row r="6">
      <c r="A6" s="7" t="inlineStr">
        <is>
          <t>上限 平均+2u</t>
        </is>
      </c>
      <c r="B6" s="21">
        <f>'誤差vs不確定度'!B41</f>
        <v/>
      </c>
      <c r="C6" s="21" t="n">
        <v>107.7448729</v>
      </c>
      <c r="D6" s="22">
        <f>IF(ABS(B6-C6)&lt;=0.053872436450000005,"✓","✗")</f>
        <v/>
      </c>
      <c r="E6" s="19" t="inlineStr">
        <is>
          <t>'誤差vs不確定度'!B41</t>
        </is>
      </c>
    </row>
    <row r="7">
      <c r="A7" s="7" t="inlineStr">
        <is>
          <t>魚骨圖合成 uc</t>
        </is>
      </c>
      <c r="B7" s="21">
        <f>'魚骨圖來源→合成'!E8</f>
        <v/>
      </c>
      <c r="C7" s="21" t="n">
        <v>0.1247028245</v>
      </c>
      <c r="D7" s="22">
        <f>IF(ABS(B7-C7)&lt;=6.235141225e-05,"✓","✗")</f>
        <v/>
      </c>
      <c r="E7" s="19" t="inlineStr">
        <is>
          <t>'魚骨圖來源→合成'!E8</t>
        </is>
      </c>
    </row>
    <row r="8">
      <c r="A8" s="7" t="inlineStr">
        <is>
          <t>量瓶三角形 u</t>
        </is>
      </c>
      <c r="B8" s="21">
        <f>'魚骨圖來源→合成'!E3</f>
        <v/>
      </c>
      <c r="C8" s="21" t="n">
        <v>0.008164965809</v>
      </c>
      <c r="D8" s="22">
        <f>IF(ABS(B8-C8)&lt;=4.0824829045e-06,"✓","✗")</f>
        <v/>
      </c>
      <c r="E8" s="19" t="inlineStr">
        <is>
          <t>'魚骨圖來源→合成'!E3</t>
        </is>
      </c>
    </row>
    <row r="9">
      <c r="A9" s="7" t="inlineStr">
        <is>
          <t>基質效應常態95% u</t>
        </is>
      </c>
      <c r="B9" s="21">
        <f>'魚骨圖來源→合成'!E5</f>
        <v/>
      </c>
      <c r="C9" s="21" t="n">
        <v>0.02551067285</v>
      </c>
      <c r="D9" s="22">
        <f>IF(ABS(B9-C9)&lt;=1.2755336424999999e-05,"✓","✗")</f>
        <v/>
      </c>
      <c r="E9" s="19" t="inlineStr">
        <is>
          <t>'魚骨圖來源→合成'!E5</t>
        </is>
      </c>
    </row>
    <row r="11">
      <c r="A11" s="10" t="inlineStr">
        <is>
          <t>如果你改了黃色儲存格的數據，這裡當然會變成 ✗——那是因為 R 的答案是用原始教材數據算的。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2026-09-17T18:08:36Z</dcterms:created>
  <dcterms:modified xmlns:dcterms="http://purl.org/dc/terms/" xmlns:xsi="http://www.w3.org/2001/XMLSchema-instance" xsi:type="dcterms:W3CDTF">2026-09-17T18:08:36Z</dcterms:modified>
</cp:coreProperties>
</file>