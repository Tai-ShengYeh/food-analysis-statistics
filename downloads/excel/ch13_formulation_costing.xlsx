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原料資料庫與配方平衡" sheetId="2" state="visible" r:id="rId2"/>
    <sheet xmlns:r="http://schemas.openxmlformats.org/officeDocument/2006/relationships" name="最低成本驗算表" sheetId="3" state="visible" r:id="rId3"/>
    <sheet xmlns:r="http://schemas.openxmlformats.org/officeDocument/2006/relationships" name="營養標籤與Atwater" sheetId="4" state="visible" r:id="rId4"/>
    <sheet xmlns:r="http://schemas.openxmlformats.org/officeDocument/2006/relationships" name="對照R答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0"/>
    <numFmt numFmtId="165" formatCode="0.0000"/>
    <numFmt numFmtId="166" formatCode="0.000000"/>
    <numFmt numFmtId="167" formatCode="0.00000"/>
  </numFmts>
  <fonts count="11">
    <font>
      <name val="Calibri"/>
      <family val="2"/>
      <color theme="1"/>
      <sz val="11"/>
      <scheme val="minor"/>
    </font>
    <font>
      <name val="Microsoft JhengHei"/>
      <b val="1"/>
      <color rgb="000F4C81"/>
      <sz val="16"/>
    </font>
    <font>
      <name val="Microsoft JhengHei"/>
      <color rgb="0064748B"/>
      <sz val="10"/>
    </font>
    <font>
      <name val="Microsoft JhengHei"/>
      <b val="1"/>
      <color rgb="000F4C81"/>
      <sz val="12"/>
    </font>
    <font>
      <name val="Microsoft JhengHei"/>
      <sz val="11"/>
    </font>
    <font>
      <name val="Microsoft JhengHei"/>
      <b val="1"/>
      <color rgb="00FFFFFF"/>
    </font>
    <font>
      <name val="Microsoft JhengHei"/>
    </font>
    <font>
      <name val="Consolas"/>
      <color rgb="001565C0"/>
      <sz val="10"/>
    </font>
    <font>
      <name val="Microsoft JhengHei"/>
      <b val="1"/>
    </font>
    <font>
      <name val="Microsoft JhengHei"/>
      <b val="1"/>
      <color rgb="000F4C81"/>
      <sz val="11"/>
    </font>
    <font>
      <name val="Microsoft JhengHei"/>
      <sz val="10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FF4C2"/>
      </patternFill>
    </fill>
    <fill>
      <patternFill patternType="solid">
        <fgColor rgb="00E3F5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2" fontId="6" fillId="3" borderId="1" pivotButton="0" quotePrefix="0" xfId="0"/>
    <xf numFmtId="1" fontId="6" fillId="3" borderId="1" pivotButton="0" quotePrefix="0" xfId="0"/>
    <xf numFmtId="2" fontId="0" fillId="0" borderId="1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2" fontId="6" fillId="0" borderId="1" pivotButton="0" quotePrefix="0" xfId="0"/>
    <xf numFmtId="0" fontId="8" fillId="0" borderId="1" pivotButton="0" quotePrefix="0" xfId="0"/>
    <xf numFmtId="2" fontId="8" fillId="4" borderId="1" pivotButton="0" quotePrefix="0" xfId="0"/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64" fontId="6" fillId="3" borderId="1" pivotButton="0" quotePrefix="0" xfId="0"/>
    <xf numFmtId="165" fontId="8" fillId="4" borderId="1" pivotButton="0" quotePrefix="0" xfId="0"/>
    <xf numFmtId="49" fontId="6" fillId="0" borderId="1" pivotButton="0" quotePrefix="0" xfId="0"/>
    <xf numFmtId="166" fontId="8" fillId="4" borderId="1" pivotButton="0" quotePrefix="0" xfId="0"/>
    <xf numFmtId="166" fontId="6" fillId="0" borderId="1" pivotButton="0" quotePrefix="0" xfId="0"/>
    <xf numFmtId="167" fontId="8" fillId="4" borderId="1" pivotButton="0" quotePrefix="0" xfId="0"/>
    <xf numFmtId="165" fontId="6" fillId="0" borderId="1" pivotButton="0" quotePrefix="0" xfId="0"/>
    <xf numFmtId="1" fontId="6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Ch13 配方計算：目標導向配方、規劃求解最低成本、營養標籤與 Atwater 熱量</t>
        </is>
      </c>
    </row>
    <row r="2">
      <c r="A2" s="2" t="inlineStr">
        <is>
          <t>對應網頁：ch13.html　｜　黃色儲存格＝可以改成你自己的數據；其他是公式，請不要直接覆蓋。</t>
        </is>
      </c>
    </row>
    <row r="4">
      <c r="A4" s="3" t="inlineStr">
        <is>
          <t>這本活頁簿在做什麼</t>
        </is>
      </c>
    </row>
    <row r="5">
      <c r="A5" s="4" t="inlineStr">
        <is>
          <t>重現商業配方軟體 TechWizard™ 的兩招牌功能：質量平衡聯立方程（目標導向配方）與最低成本配方，情境是 TechWizard 官網的 Ice Cream 範例：</t>
        </is>
      </c>
    </row>
    <row r="6">
      <c r="A6" s="4" t="inlineStr">
        <is>
          <t>脂肪 12%、非脂乳固形（MSNF）11%、砂糖 14%、玉米糖漿 3%、安定劑/乳化劑 0.5%，其餘用鮮奶油＋全脂鮮乳＋脫脂奶粉＋水湊足 82.5 kg。</t>
        </is>
      </c>
    </row>
    <row r="7">
      <c r="A7" s="4" t="inlineStr">
        <is>
          <t>「原料資料庫與配方平衡」：列出各原料的組成（脂肪/MSNF/水分/單價），並說明質量平衡的 3 條方程式、4 個未知數（多一個自由度）。</t>
        </is>
      </c>
    </row>
    <row r="8">
      <c r="A8" s="4" t="inlineStr">
        <is>
          <t>「最低成本驗算表」：把 R 用 solve() 掃描找出的最佳解（與最貴端點、逆向工程解）當常數填入，用公式驗證它滿足所有限制式並算成本——這是本章最重要的一張表。</t>
        </is>
      </c>
    </row>
    <row r="9">
      <c r="A9" s="4" t="inlineStr">
        <is>
          <t>「營養標籤與Atwater」：用 SUMPRODUCT 把配方加權平均成每 100 g 營養值，換算每份 66 g，並用 Atwater 4-4-9 交叉驗證熱量。</t>
        </is>
      </c>
    </row>
    <row r="10">
      <c r="A10" s="3" t="inlineStr">
        <is>
          <t>怎麼用</t>
        </is>
      </c>
    </row>
    <row r="11">
      <c r="A11" s="4" t="inlineStr">
        <is>
          <t>1. 黃色是可以改的數據；「原料資料庫」的組成/單價改了，下面的驗算表會自動重算「是否符合限制式」與成本，但注意：Excel 不會自動重新幫你找『最佳解』，那是 Solver 的工作（見下方 Solver 操作說明）。</t>
        </is>
      </c>
    </row>
    <row r="12">
      <c r="A12" s="4" t="inlineStr">
        <is>
          <t>2. 想找新的最佳解：照著下面的 Solver 步驟做一次，把 Solver 給的答案抄到「最低成本驗算表」的黃色格子裡，公式就會自動驗證它對不對。</t>
        </is>
      </c>
    </row>
    <row r="13">
      <c r="A13" s="4" t="inlineStr">
        <is>
          <t>3.「營養標籤與Atwater」把 tgt_fat（脂肪目標）改一改，看熱量、每份 66 g 的標示值怎麼變。</t>
        </is>
      </c>
    </row>
    <row r="14">
      <c r="A14" s="4" t="inlineStr">
        <is>
          <t>4.「對照R答案」工作表核對 Excel 與 R 是否一致。</t>
        </is>
      </c>
    </row>
    <row r="15">
      <c r="A15" s="3" t="inlineStr">
        <is>
          <t>用 Excel「規劃求解（Solver）」重現 R 的 solve() 與最低成本搜尋</t>
        </is>
      </c>
    </row>
    <row r="16">
      <c r="A16" s="4" t="inlineStr">
        <is>
          <t>① 啟用增益集：檔案 → 選項 → 增益集 → 管理選「Excel 增益集」→ 前往 → 勾選「規劃求解外接程式」→ 確定。此後「資料」分頁最右邊會出現「規劃求解」按鈕。</t>
        </is>
      </c>
    </row>
    <row r="17">
      <c r="A17" s="4" t="inlineStr">
        <is>
          <t>② 目標導向配方（只要滿足限制式，不求最低成本）：在工作表上把鮮奶油、全脂鮮乳、脫脂奶粉、水四格設成「變動變數」；設定限制式：總質量=82.5、脂肪合量=12、MSNF合量=11、四個變數全部&gt;=0；目標格可以留空或設成任意常數，按「求解」即可解出一組可行配方（相當於 R 的 solve()）。</t>
        </is>
      </c>
    </row>
    <row r="18">
      <c r="A18" s="4" t="inlineStr">
        <is>
          <t>③ 最低成本配方（本章的重點）：目標儲存格＝原料成本合計（=SUMPRODUCT(用量欄,單價欄)+砂糖/糖漿/安定劑固定成本），選「最小化」；變動變數＝鮮奶油、全脂鮮乳、脫脂奶粉（水由總質量限制式自動決定，或也設成變數）；限制式同上（總質量、脂肪、MSNF、全部&gt;=0）；按「求解」。</t>
        </is>
      </c>
    </row>
    <row r="19">
      <c r="A19" s="4" t="inlineStr">
        <is>
          <t>④ Solver 求解方法選「單純線性規劃 (Simplex LP)」——因為目標函數與限制式都是線性的，這正好對應教材裡『線性規劃最佳解在可行區域端點』的理論。</t>
        </is>
      </c>
    </row>
    <row r="20">
      <c r="A20" s="4" t="inlineStr">
        <is>
          <t>⑤ 重要提醒：Solver 的解是一次性的「靜態值」，改動黃色數據（例如原料單價）之後，Solver 不會自動重算——要重算就要重新按一次「求解」。這正是為什麼本章需要一張額外的「驗算表」：把 Solver（或 R）給的解當常數填入，用公式即時驗證它還滿不滿足限制式、成本是多少。</t>
        </is>
      </c>
    </row>
    <row r="21">
      <c r="A21" s="3" t="inlineStr">
        <is>
          <t>兩個最重要的觀念</t>
        </is>
      </c>
    </row>
    <row r="22">
      <c r="A22" s="4" t="inlineStr">
        <is>
          <t>① 4 個未知數、3 條方程式＝多一個自由度，存在一整個「可行配方家族」；成本是各用量的線性函數，所以最低成本解必落在可行區域的端點（線性規劃基本定理），不是中間折衷點。</t>
        </is>
      </c>
    </row>
    <row r="23">
      <c r="A23" s="4" t="inlineStr">
        <is>
          <t>② 混合物的成分是「依用量加權平均」，不是簡單平均或直接相加——這正是 SUMPRODUCT(用量,成分) 存在的理由。</t>
        </is>
      </c>
    </row>
    <row r="24">
      <c r="A24" s="3" t="inlineStr">
        <is>
          <t>Excel「規劃求解」對應本章 R 函數</t>
        </is>
      </c>
    </row>
    <row r="25">
      <c r="A25" s="4" t="inlineStr">
        <is>
          <t>R 的 solve()（解聯立方程）＝ Solver 只設限制式、不求最佳化；R 掃描 SMP 找最低成本 ＝ Solver 設目標「最小化」＋限制式一次求解，兩者殊途同歸，都是先寫「目標式」與「限制式」再交給演算法。Excel 沒有內建的『掃描＋畫成本曲線』功能，本章用固定的最佳解/次佳解讓學生在驗算表對照即可。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50" customWidth="1" min="7" max="7"/>
  </cols>
  <sheetData>
    <row r="1">
      <c r="A1" s="3" t="inlineStr">
        <is>
          <t>迷你原料資料庫（摘自 USDA FoodData Central／SR Legacy，CC0）</t>
        </is>
      </c>
    </row>
    <row r="2">
      <c r="A2" s="5" t="inlineStr">
        <is>
          <t>原料</t>
        </is>
      </c>
      <c r="B2" s="5" t="inlineStr">
        <is>
          <t>脂肪%</t>
        </is>
      </c>
      <c r="C2" s="5" t="inlineStr">
        <is>
          <t>蛋白質%</t>
        </is>
      </c>
      <c r="D2" s="5" t="inlineStr">
        <is>
          <t>碳水%</t>
        </is>
      </c>
      <c r="E2" s="5" t="inlineStr">
        <is>
          <t>灰分%</t>
        </is>
      </c>
      <c r="F2" s="5" t="inlineStr">
        <is>
          <t>單價(元/kg)</t>
        </is>
      </c>
    </row>
    <row r="3">
      <c r="A3" s="6" t="inlineStr">
        <is>
          <t>鮮奶油(36%)</t>
        </is>
      </c>
      <c r="B3" s="7" t="n">
        <v>36.08</v>
      </c>
      <c r="C3" s="7" t="n">
        <v>2.05</v>
      </c>
      <c r="D3" s="7" t="n">
        <v>2.79</v>
      </c>
      <c r="E3" s="7" t="n">
        <v>0.61</v>
      </c>
      <c r="F3" s="8" t="n">
        <v>230</v>
      </c>
    </row>
    <row r="4">
      <c r="A4" s="6" t="inlineStr">
        <is>
          <t>全脂鮮乳</t>
        </is>
      </c>
      <c r="B4" s="7" t="n">
        <v>3.25</v>
      </c>
      <c r="C4" s="7" t="n">
        <v>3.15</v>
      </c>
      <c r="D4" s="7" t="n">
        <v>4.8</v>
      </c>
      <c r="E4" s="7" t="n">
        <v>0.7</v>
      </c>
      <c r="F4" s="8" t="n">
        <v>38</v>
      </c>
    </row>
    <row r="5">
      <c r="A5" s="6" t="inlineStr">
        <is>
          <t>脫脂奶粉</t>
        </is>
      </c>
      <c r="B5" s="7" t="n">
        <v>0.77</v>
      </c>
      <c r="C5" s="7" t="n">
        <v>36.16</v>
      </c>
      <c r="D5" s="7" t="n">
        <v>51.99</v>
      </c>
      <c r="E5" s="7" t="n">
        <v>7.92</v>
      </c>
      <c r="F5" s="8" t="n">
        <v>280</v>
      </c>
    </row>
    <row r="6">
      <c r="A6" s="6" t="inlineStr">
        <is>
          <t>砂糖</t>
        </is>
      </c>
      <c r="B6" s="7" t="n">
        <v>0</v>
      </c>
      <c r="C6" s="7" t="n">
        <v>0</v>
      </c>
      <c r="D6" s="7" t="n">
        <v>99.98</v>
      </c>
      <c r="E6" s="7" t="n">
        <v>0</v>
      </c>
      <c r="F6" s="8" t="n">
        <v>42</v>
      </c>
    </row>
    <row r="7">
      <c r="A7" s="6" t="inlineStr">
        <is>
          <t>玉米糖漿</t>
        </is>
      </c>
      <c r="B7" s="7" t="n">
        <v>0</v>
      </c>
      <c r="C7" s="7" t="n">
        <v>0</v>
      </c>
      <c r="D7" s="7" t="n">
        <v>78</v>
      </c>
      <c r="E7" s="7" t="n">
        <v>0</v>
      </c>
      <c r="F7" s="8" t="n">
        <v>55</v>
      </c>
    </row>
    <row r="8">
      <c r="A8" s="6" t="inlineStr">
        <is>
          <t>安定劑/乳化劑</t>
        </is>
      </c>
      <c r="B8" s="7" t="n">
        <v>0</v>
      </c>
      <c r="C8" s="7" t="n">
        <v>0</v>
      </c>
      <c r="D8" s="7" t="n">
        <v>0</v>
      </c>
      <c r="E8" s="7" t="n">
        <v>0</v>
      </c>
      <c r="F8" s="8" t="n">
        <v>850</v>
      </c>
    </row>
    <row r="10">
      <c r="A10" s="5" t="inlineStr">
        <is>
          <t>原料</t>
        </is>
      </c>
      <c r="B10" s="5" t="inlineStr">
        <is>
          <t>MSNF% (=蛋白質+碳水+灰分)</t>
        </is>
      </c>
      <c r="C10" s="5" t="inlineStr">
        <is>
          <t>公式</t>
        </is>
      </c>
    </row>
    <row r="11">
      <c r="A11" s="6" t="inlineStr">
        <is>
          <t>鮮奶油(36%)</t>
        </is>
      </c>
      <c r="B11" s="9">
        <f>C3+D3+E3</f>
        <v/>
      </c>
      <c r="C11" s="10" t="inlineStr">
        <is>
          <t>'=蛋白質+碳水+灰分</t>
        </is>
      </c>
    </row>
    <row r="12">
      <c r="A12" s="6" t="inlineStr">
        <is>
          <t>全脂鮮乳</t>
        </is>
      </c>
      <c r="B12" s="9">
        <f>C4+D4+E4</f>
        <v/>
      </c>
      <c r="C12" s="10" t="inlineStr">
        <is>
          <t>'=蛋白質+碳水+灰分</t>
        </is>
      </c>
    </row>
    <row r="13">
      <c r="A13" s="6" t="inlineStr">
        <is>
          <t>脫脂奶粉</t>
        </is>
      </c>
      <c r="B13" s="9">
        <f>C5+D5+E5</f>
        <v/>
      </c>
      <c r="C13" s="10" t="inlineStr">
        <is>
          <t>'=蛋白質+碳水+灰分</t>
        </is>
      </c>
    </row>
    <row r="15">
      <c r="A15" s="3" t="inlineStr">
        <is>
          <t>目標規格（每 100 kg 配方；黃色可改）</t>
        </is>
      </c>
    </row>
    <row r="16">
      <c r="A16" s="5" t="inlineStr">
        <is>
          <t>項目</t>
        </is>
      </c>
      <c r="B16" s="5" t="inlineStr">
        <is>
          <t>數值 (kg)</t>
        </is>
      </c>
      <c r="C16" s="5" t="inlineStr">
        <is>
          <t>公式</t>
        </is>
      </c>
      <c r="D16" s="5" t="inlineStr">
        <is>
          <t>說明</t>
        </is>
      </c>
    </row>
    <row r="17">
      <c r="A17" s="6" t="inlineStr">
        <is>
          <t>目標脂肪</t>
        </is>
      </c>
      <c r="B17" s="7" t="n">
        <v>12</v>
      </c>
      <c r="D17" s="11" t="inlineStr">
        <is>
          <t>TechWizard Ice Cream 範例規格</t>
        </is>
      </c>
    </row>
    <row r="18">
      <c r="A18" s="6" t="inlineStr">
        <is>
          <t>目標 MSNF</t>
        </is>
      </c>
      <c r="B18" s="7" t="n">
        <v>11</v>
      </c>
    </row>
    <row r="19">
      <c r="A19" s="6" t="inlineStr">
        <is>
          <t>砂糖用量</t>
        </is>
      </c>
      <c r="B19" s="7" t="n">
        <v>14</v>
      </c>
    </row>
    <row r="20">
      <c r="A20" s="6" t="inlineStr">
        <is>
          <t>玉米糖漿用量</t>
        </is>
      </c>
      <c r="B20" s="7" t="n">
        <v>3</v>
      </c>
    </row>
    <row r="21">
      <c r="A21" s="6" t="inlineStr">
        <is>
          <t>安定劑/乳化劑用量</t>
        </is>
      </c>
      <c r="B21" s="7" t="n">
        <v>0.5</v>
      </c>
    </row>
    <row r="22">
      <c r="A22" s="6" t="inlineStr">
        <is>
          <t>次要原料合計</t>
        </is>
      </c>
      <c r="B22" s="12">
        <f>B19+B20+B21</f>
        <v/>
      </c>
      <c r="C22" s="10" t="inlineStr">
        <is>
          <t>'=B19+B20+B21</t>
        </is>
      </c>
      <c r="D22" s="11" t="inlineStr">
        <is>
          <t>砂糖+糖漿+安定劑</t>
        </is>
      </c>
    </row>
    <row r="23">
      <c r="A23" s="13" t="inlineStr">
        <is>
          <t>乳原料+水 合計</t>
        </is>
      </c>
      <c r="B23" s="14">
        <f>100-B22</f>
        <v/>
      </c>
      <c r="C23" s="10" t="inlineStr">
        <is>
          <t>'=100-B22</t>
        </is>
      </c>
      <c r="D23" s="11" t="inlineStr">
        <is>
          <t>100 kg 扣掉次要原料</t>
        </is>
      </c>
    </row>
    <row r="25">
      <c r="A25" s="15" t="inlineStr">
        <is>
          <t>質量平衡的 3 條方程式（4 個未知數：鮮奶油c/全脂乳m/脫脂奶粉s/水w）</t>
        </is>
      </c>
    </row>
    <row r="26">
      <c r="A26" s="16" t="inlineStr">
        <is>
          <t>(1) 總質量：c + m + s + w = 乳原料+水合計　(2) 脂肪：0.3608c+0.0325m+0.0077s = 目標脂肪　(3) MSNF：0.0545c+0.0865m+0.9607s = 目標MSNF</t>
        </is>
      </c>
    </row>
    <row r="27">
      <c r="A27" s="11" t="inlineStr">
        <is>
          <t>4 個未知數、3 條方程式 → 多一個自由度，存在一整個可行配方家族；要多一個準則（例如成本最低）才能選出唯一解。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50" customWidth="1" min="7" max="7"/>
  </cols>
  <sheetData>
    <row r="1">
      <c r="A1" s="3" t="inlineStr">
        <is>
          <t>把 R／Solver 算出的解當「常數」填入（黃色可改），用公式驗證是否滿足限制式並算成本</t>
        </is>
      </c>
    </row>
    <row r="2">
      <c r="A2" s="15" t="inlineStr">
        <is>
          <t>① 最便宜解（水→0 的端點，R 用 solve() 掃描 SMP 找出）</t>
        </is>
      </c>
    </row>
    <row r="3">
      <c r="A3" s="5" t="inlineStr">
        <is>
          <t>原料</t>
        </is>
      </c>
      <c r="B3" s="5" t="inlineStr">
        <is>
          <t>用量 (kg)</t>
        </is>
      </c>
    </row>
    <row r="4">
      <c r="A4" s="6" t="inlineStr">
        <is>
          <t>鮮奶油 cream</t>
        </is>
      </c>
      <c r="B4" s="17" t="n">
        <v>28.82543961</v>
      </c>
    </row>
    <row r="5">
      <c r="A5" s="6" t="inlineStr">
        <is>
          <t>全脂鮮乳 milk</t>
        </is>
      </c>
      <c r="B5" s="17" t="n">
        <v>47.92096579</v>
      </c>
    </row>
    <row r="6">
      <c r="A6" s="6" t="inlineStr">
        <is>
          <t>脫脂奶粉 smp</t>
        </is>
      </c>
      <c r="B6" s="17" t="n">
        <v>5.5</v>
      </c>
    </row>
    <row r="7">
      <c r="A7" s="6" t="inlineStr">
        <is>
          <t>水 water</t>
        </is>
      </c>
      <c r="B7" s="17" t="n">
        <v>0.2535945947</v>
      </c>
    </row>
    <row r="9">
      <c r="A9" s="5" t="inlineStr">
        <is>
          <t>限制式驗算</t>
        </is>
      </c>
      <c r="B9" s="5" t="inlineStr">
        <is>
          <t>結果</t>
        </is>
      </c>
      <c r="C9" s="5" t="inlineStr">
        <is>
          <t>公式</t>
        </is>
      </c>
      <c r="D9" s="5" t="inlineStr">
        <is>
          <t>應等於</t>
        </is>
      </c>
    </row>
    <row r="10">
      <c r="A10" s="13" t="inlineStr">
        <is>
          <t>總質量 c+m+s+w</t>
        </is>
      </c>
      <c r="B10" s="18">
        <f>B4+B5+B6+B7</f>
        <v/>
      </c>
      <c r="C10" s="10" t="inlineStr">
        <is>
          <t>'=B4+B5+B6+B7</t>
        </is>
      </c>
      <c r="D10" s="11" t="inlineStr">
        <is>
          <t>應等於 82.5（乳原料+水合計）</t>
        </is>
      </c>
    </row>
    <row r="11">
      <c r="A11" s="13" t="inlineStr">
        <is>
          <t>脂肪合量 0.3608c+0.0325m+0.0077s</t>
        </is>
      </c>
      <c r="B11" s="18">
        <f>0.3608*B4+0.0325*B5+0.0077*B6</f>
        <v/>
      </c>
      <c r="C11" s="10" t="inlineStr">
        <is>
          <t>'=0.3608*B4+0.0325*B5+0.0077*B6</t>
        </is>
      </c>
      <c r="D11" s="11" t="inlineStr">
        <is>
          <t>應等於目標脂肪</t>
        </is>
      </c>
    </row>
    <row r="12">
      <c r="A12" s="13" t="inlineStr">
        <is>
          <t>MSNF合量 0.0545c+0.0865m+0.9607s</t>
        </is>
      </c>
      <c r="B12" s="18">
        <f>0.0545*B4+0.0865*B5+0.9607*B6</f>
        <v/>
      </c>
      <c r="C12" s="10" t="inlineStr">
        <is>
          <t>'=0.0545*B4+0.0865*B5+0.9607*B6</t>
        </is>
      </c>
      <c r="D12" s="11" t="inlineStr">
        <is>
          <t>應等於目標MSNF</t>
        </is>
      </c>
    </row>
    <row r="13">
      <c r="A13" s="6" t="inlineStr">
        <is>
          <t>全部用量 ≥ 0？</t>
        </is>
      </c>
      <c r="B13" s="19">
        <f>IF(MIN(B4,B5,B6,B7)&gt;=-0.000001,"是","否——不可行")</f>
        <v/>
      </c>
      <c r="C13" s="10" t="inlineStr">
        <is>
          <t>'=IF(MIN(B4,B5,B6,B7)&gt;=-0.000001,"是","否——不可行")</t>
        </is>
      </c>
      <c r="D13" s="11" t="inlineStr">
        <is>
          <t>可行配方的必要條件</t>
        </is>
      </c>
    </row>
    <row r="14">
      <c r="A14" s="13" t="inlineStr">
        <is>
          <t>原料成本 (元/100kg)</t>
        </is>
      </c>
      <c r="B14" s="14">
        <f>230*B4+38*B5+280*B6+0.5*B7+(14*42+3*55+0.5*850)</f>
        <v/>
      </c>
      <c r="C14" s="10" t="inlineStr">
        <is>
          <t>'=230*B4+38*B5+280*B6+0.5*B7+(14*42+3*55+0.5*850)</t>
        </is>
      </c>
      <c r="D14" s="11" t="inlineStr">
        <is>
          <t>230c+38m+280s+0.5w+次要原料固定成本(14×42+3×55+0.5×850)</t>
        </is>
      </c>
    </row>
    <row r="17">
      <c r="A17" s="15" t="inlineStr">
        <is>
          <t>② 最貴解（鮮乳→0 的另一端點，供對照）</t>
        </is>
      </c>
    </row>
    <row r="18">
      <c r="A18" s="5" t="inlineStr">
        <is>
          <t>原料</t>
        </is>
      </c>
      <c r="B18" s="5" t="inlineStr">
        <is>
          <t>用量 (kg)</t>
        </is>
      </c>
    </row>
    <row r="19">
      <c r="A19" s="6" t="inlineStr">
        <is>
          <t>鮮奶油 cream</t>
        </is>
      </c>
      <c r="B19" s="17" t="n">
        <v>33.02935446</v>
      </c>
    </row>
    <row r="20">
      <c r="A20" s="6" t="inlineStr">
        <is>
          <t>全脂鮮乳 milk</t>
        </is>
      </c>
      <c r="B20" s="17" t="n">
        <v>0.2915049961</v>
      </c>
    </row>
    <row r="21">
      <c r="A21" s="6" t="inlineStr">
        <is>
          <t>脫脂奶粉 smp</t>
        </is>
      </c>
      <c r="B21" s="17" t="n">
        <v>9.550000000000001</v>
      </c>
    </row>
    <row r="22">
      <c r="A22" s="6" t="inlineStr">
        <is>
          <t>水 water</t>
        </is>
      </c>
      <c r="B22" s="17" t="n">
        <v>39.62914055</v>
      </c>
    </row>
    <row r="24">
      <c r="A24" s="5" t="inlineStr">
        <is>
          <t>限制式驗算</t>
        </is>
      </c>
      <c r="B24" s="5" t="inlineStr">
        <is>
          <t>結果</t>
        </is>
      </c>
      <c r="C24" s="5" t="inlineStr">
        <is>
          <t>公式</t>
        </is>
      </c>
      <c r="D24" s="5" t="inlineStr">
        <is>
          <t>應等於</t>
        </is>
      </c>
    </row>
    <row r="25">
      <c r="A25" s="13" t="inlineStr">
        <is>
          <t>總質量 c+m+s+w</t>
        </is>
      </c>
      <c r="B25" s="18">
        <f>B19+B20+B21+B22</f>
        <v/>
      </c>
      <c r="C25" s="10" t="inlineStr">
        <is>
          <t>'=B19+B20+B21+B22</t>
        </is>
      </c>
      <c r="D25" s="11" t="inlineStr">
        <is>
          <t>應等於 82.5（乳原料+水合計）</t>
        </is>
      </c>
    </row>
    <row r="26">
      <c r="A26" s="13" t="inlineStr">
        <is>
          <t>脂肪合量 0.3608c+0.0325m+0.0077s</t>
        </is>
      </c>
      <c r="B26" s="18">
        <f>0.3608*B19+0.0325*B20+0.0077*B21</f>
        <v/>
      </c>
      <c r="C26" s="10" t="inlineStr">
        <is>
          <t>'=0.3608*B19+0.0325*B20+0.0077*B21</t>
        </is>
      </c>
      <c r="D26" s="11" t="inlineStr">
        <is>
          <t>應等於目標脂肪</t>
        </is>
      </c>
    </row>
    <row r="27">
      <c r="A27" s="13" t="inlineStr">
        <is>
          <t>MSNF合量 0.0545c+0.0865m+0.9607s</t>
        </is>
      </c>
      <c r="B27" s="18">
        <f>0.0545*B19+0.0865*B20+0.9607*B21</f>
        <v/>
      </c>
      <c r="C27" s="10" t="inlineStr">
        <is>
          <t>'=0.0545*B19+0.0865*B20+0.9607*B21</t>
        </is>
      </c>
      <c r="D27" s="11" t="inlineStr">
        <is>
          <t>應等於目標MSNF</t>
        </is>
      </c>
    </row>
    <row r="28">
      <c r="A28" s="6" t="inlineStr">
        <is>
          <t>全部用量 ≥ 0？</t>
        </is>
      </c>
      <c r="B28" s="19">
        <f>IF(MIN(B19,B20,B21,B22)&gt;=-0.000001,"是","否——不可行")</f>
        <v/>
      </c>
      <c r="C28" s="10" t="inlineStr">
        <is>
          <t>'=IF(MIN(B19,B20,B21,B22)&gt;=-0.000001,"是","否——不可行")</t>
        </is>
      </c>
      <c r="D28" s="11" t="inlineStr">
        <is>
          <t>可行配方的必要條件</t>
        </is>
      </c>
    </row>
    <row r="29">
      <c r="A29" s="13" t="inlineStr">
        <is>
          <t>原料成本 (元/100kg)</t>
        </is>
      </c>
      <c r="B29" s="14">
        <f>230*B19+38*B20+280*B21+0.5*B22+(14*42+3*55+0.5*850)</f>
        <v/>
      </c>
      <c r="C29" s="10" t="inlineStr">
        <is>
          <t>'=230*B19+38*B20+280*B21+0.5*B22+(14*42+3*55+0.5*850)</t>
        </is>
      </c>
      <c r="D29" s="11" t="inlineStr">
        <is>
          <t>230c+38m+280s+0.5w+次要原料固定成本(14×42+3×55+0.5×850)</t>
        </is>
      </c>
    </row>
    <row r="32">
      <c r="A32" s="15" t="inlineStr">
        <is>
          <t>③ 逆向工程解（競品脂肪10.8%/MSNF12.22%，用同一套限制式重解）</t>
        </is>
      </c>
    </row>
    <row r="33">
      <c r="A33" s="5" t="inlineStr">
        <is>
          <t>原料</t>
        </is>
      </c>
      <c r="B33" s="5" t="inlineStr">
        <is>
          <t>用量 (kg)</t>
        </is>
      </c>
    </row>
    <row r="34">
      <c r="A34" s="6" t="inlineStr">
        <is>
          <t>鮮奶油 cream</t>
        </is>
      </c>
      <c r="B34" s="17" t="n">
        <v>25.24752922</v>
      </c>
    </row>
    <row r="35">
      <c r="A35" s="6" t="inlineStr">
        <is>
          <t>全脂鮮乳 milk</t>
        </is>
      </c>
      <c r="B35" s="17" t="n">
        <v>50.42204485</v>
      </c>
    </row>
    <row r="36">
      <c r="A36" s="6" t="inlineStr">
        <is>
          <t>脫脂奶粉 smp</t>
        </is>
      </c>
      <c r="B36" s="17" t="n">
        <v>6.75</v>
      </c>
    </row>
    <row r="37">
      <c r="A37" s="6" t="inlineStr">
        <is>
          <t>水 water</t>
        </is>
      </c>
      <c r="B37" s="17" t="n">
        <v>0.08042592791</v>
      </c>
    </row>
    <row r="39">
      <c r="A39" s="5" t="inlineStr">
        <is>
          <t>限制式驗算</t>
        </is>
      </c>
      <c r="B39" s="5" t="inlineStr">
        <is>
          <t>結果</t>
        </is>
      </c>
      <c r="C39" s="5" t="inlineStr">
        <is>
          <t>公式</t>
        </is>
      </c>
      <c r="D39" s="5" t="inlineStr">
        <is>
          <t>應等於</t>
        </is>
      </c>
    </row>
    <row r="40">
      <c r="A40" s="13" t="inlineStr">
        <is>
          <t>總質量 c+m+s+w</t>
        </is>
      </c>
      <c r="B40" s="18">
        <f>B34+B35+B36+B37</f>
        <v/>
      </c>
      <c r="C40" s="10" t="inlineStr">
        <is>
          <t>'=B34+B35+B36+B37</t>
        </is>
      </c>
      <c r="D40" s="11" t="inlineStr">
        <is>
          <t>應等於 82.5（乳原料+水合計）</t>
        </is>
      </c>
    </row>
    <row r="41">
      <c r="A41" s="13" t="inlineStr">
        <is>
          <t>脂肪合量 0.3608c+0.0325m+0.0077s</t>
        </is>
      </c>
      <c r="B41" s="18">
        <f>0.3608*B34+0.0325*B35+0.0077*B36</f>
        <v/>
      </c>
      <c r="C41" s="10" t="inlineStr">
        <is>
          <t>'=0.3608*B34+0.0325*B35+0.0077*B36</t>
        </is>
      </c>
      <c r="D41" s="11" t="inlineStr">
        <is>
          <t>應等於目標脂肪</t>
        </is>
      </c>
    </row>
    <row r="42">
      <c r="A42" s="13" t="inlineStr">
        <is>
          <t>MSNF合量 0.0545c+0.0865m+0.9607s</t>
        </is>
      </c>
      <c r="B42" s="18">
        <f>0.0545*B34+0.0865*B35+0.9607*B36</f>
        <v/>
      </c>
      <c r="C42" s="10" t="inlineStr">
        <is>
          <t>'=0.0545*B34+0.0865*B35+0.9607*B36</t>
        </is>
      </c>
      <c r="D42" s="11" t="inlineStr">
        <is>
          <t>應等於目標MSNF</t>
        </is>
      </c>
    </row>
    <row r="43">
      <c r="A43" s="6" t="inlineStr">
        <is>
          <t>全部用量 ≥ 0？</t>
        </is>
      </c>
      <c r="B43" s="19">
        <f>IF(MIN(B34,B35,B36,B37)&gt;=-0.000001,"是","否——不可行")</f>
        <v/>
      </c>
      <c r="C43" s="10" t="inlineStr">
        <is>
          <t>'=IF(MIN(B34,B35,B36,B37)&gt;=-0.000001,"是","否——不可行")</t>
        </is>
      </c>
      <c r="D43" s="11" t="inlineStr">
        <is>
          <t>可行配方的必要條件</t>
        </is>
      </c>
    </row>
    <row r="44">
      <c r="A44" s="13" t="inlineStr">
        <is>
          <t>原料成本 (元/100kg)</t>
        </is>
      </c>
      <c r="B44" s="14">
        <f>230*B34+38*B35+280*B36+0.5*B37+(14*42+3*55+0.5*850)</f>
        <v/>
      </c>
      <c r="C44" s="10" t="inlineStr">
        <is>
          <t>'=230*B34+38*B35+280*B36+0.5*B37+(14*42+3*55+0.5*850)</t>
        </is>
      </c>
      <c r="D44" s="11" t="inlineStr">
        <is>
          <t>230c+38m+280s+0.5w+次要原料固定成本(14×42+3×55+0.5×850)</t>
        </is>
      </c>
    </row>
    <row r="47">
      <c r="A47" s="15" t="inlineStr">
        <is>
          <t>成本比較：最便宜 vs 最貴</t>
        </is>
      </c>
    </row>
    <row r="48">
      <c r="A48" s="5" t="inlineStr">
        <is>
          <t>項目</t>
        </is>
      </c>
      <c r="B48" s="5" t="inlineStr">
        <is>
          <t>結果</t>
        </is>
      </c>
      <c r="C48" s="5" t="inlineStr">
        <is>
          <t>公式</t>
        </is>
      </c>
      <c r="D48" s="5" t="inlineStr">
        <is>
          <t>說明</t>
        </is>
      </c>
    </row>
    <row r="49">
      <c r="A49" s="13" t="inlineStr">
        <is>
          <t>最貴 − 最便宜 (元/100kg)</t>
        </is>
      </c>
      <c r="B49" s="14">
        <f>B29-B14</f>
        <v/>
      </c>
      <c r="C49" s="10" t="inlineStr">
        <is>
          <t>'=B29-B14</t>
        </is>
      </c>
      <c r="D49" s="11" t="inlineStr">
        <is>
          <t>同規格下，配方選擇可以差到這麼多錢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44" customWidth="1" min="4" max="4"/>
  </cols>
  <sheetData>
    <row r="1">
      <c r="A1" s="3" t="inlineStr">
        <is>
          <t>用「最便宜解」的用量，加權平均出每 100 g 營養值（全部用 SUMPRODUCT）</t>
        </is>
      </c>
    </row>
    <row r="2">
      <c r="A2" s="5" t="inlineStr">
        <is>
          <t>項目</t>
        </is>
      </c>
      <c r="B2" s="5" t="inlineStr">
        <is>
          <t>結果</t>
        </is>
      </c>
      <c r="C2" s="5" t="inlineStr">
        <is>
          <t>公式</t>
        </is>
      </c>
      <c r="D2" s="5" t="inlineStr">
        <is>
          <t>說明</t>
        </is>
      </c>
    </row>
    <row r="3">
      <c r="A3" s="13" t="inlineStr">
        <is>
          <t>蛋白質 (g/100g)</t>
        </is>
      </c>
      <c r="B3" s="20">
        <f>SUMPRODUCT(('最低成本驗算表'!B4:B6),({2.05;3.15;36.16}))/100</f>
        <v/>
      </c>
      <c r="C3" s="10" t="inlineStr">
        <is>
          <t>'=SUMPRODUCT(('最低成本驗算表'!B4:B6),({2.05;3.15;36.16}))/100</t>
        </is>
      </c>
      <c r="D3" s="11" t="inlineStr">
        <is>
          <t>SUMPRODUCT(用量欄{cream,milk,smp}, 蛋白質%欄)/100</t>
        </is>
      </c>
    </row>
    <row r="4">
      <c r="A4" s="13" t="inlineStr">
        <is>
          <t>碳水化合物 (g/100g)</t>
        </is>
      </c>
      <c r="B4" s="20">
        <f>(SUMPRODUCT(('最低成本驗算表'!B4:B6),({2.79;4.80;51.99}))+14*99.98+3*78)/100</f>
        <v/>
      </c>
      <c r="C4" s="10" t="inlineStr">
        <is>
          <t>'=(SUMPRODUCT(('最低成本驗算表'!B4:B6),({2.79;4.80;51.99}))+14*99.98+3*78)/100</t>
        </is>
      </c>
      <c r="D4" s="11" t="inlineStr">
        <is>
          <t>乳原料的碳水加權 + 砂糖14×99.98% + 玉米糖漿3×78%，全部/100</t>
        </is>
      </c>
    </row>
    <row r="5">
      <c r="A5" s="6" t="inlineStr">
        <is>
          <t>乳糖 (g/100g)</t>
        </is>
      </c>
      <c r="B5" s="21">
        <f>SUMPRODUCT(('最低成本驗算表'!B4:B6),({2.79;4.80;51.99}))/100</f>
        <v/>
      </c>
      <c r="C5" s="10" t="inlineStr">
        <is>
          <t>'=SUMPRODUCT(('最低成本驗算表'!B4:B6),({2.79;4.80;51.99}))/100</t>
        </is>
      </c>
      <c r="D5" s="11" t="inlineStr">
        <is>
          <t>只算乳原料帶來的碳水（乳糖）</t>
        </is>
      </c>
    </row>
    <row r="6">
      <c r="A6" s="13" t="inlineStr">
        <is>
          <t>糖 (標示用) (g/100g)</t>
        </is>
      </c>
      <c r="B6" s="20">
        <f>14+B5+3*0.26</f>
        <v/>
      </c>
      <c r="C6" s="10" t="inlineStr">
        <is>
          <t>'=14+B5+3*0.26</t>
        </is>
      </c>
      <c r="D6" s="11" t="inlineStr">
        <is>
          <t>砂糖14 + 乳糖 + 玉米糖漿的還原糖部分(×0.26)</t>
        </is>
      </c>
    </row>
    <row r="7">
      <c r="A7" s="13" t="inlineStr">
        <is>
          <t>鈉 (mg/100g)</t>
        </is>
      </c>
      <c r="B7" s="22">
        <f>SUMPRODUCT(('最低成本驗算表'!B4:B6),({30;43;1010}))/100</f>
        <v/>
      </c>
      <c r="C7" s="10" t="inlineStr">
        <is>
          <t>'=SUMPRODUCT(('最低成本驗算表'!B4:B6),({30;43;1010}))/100</t>
        </is>
      </c>
      <c r="D7" s="11" t="inlineStr">
        <is>
          <t>SUMPRODUCT(用量, 各原料每100g鈉mg)/100</t>
        </is>
      </c>
    </row>
    <row r="8">
      <c r="A8" s="6" t="inlineStr">
        <is>
          <t>脂肪 (g/100g)</t>
        </is>
      </c>
      <c r="B8" s="12">
        <f>'原料資料庫與配方平衡'!B17</f>
        <v/>
      </c>
      <c r="C8" s="10" t="inlineStr">
        <is>
          <t>'='原料資料庫與配方平衡'!B17</t>
        </is>
      </c>
      <c r="D8" s="11" t="inlineStr">
        <is>
          <t>＝目標脂肪 12</t>
        </is>
      </c>
    </row>
    <row r="9">
      <c r="A9" s="13" t="inlineStr">
        <is>
          <t>熱量 Atwater 4-4-9 (kcal/100g)</t>
        </is>
      </c>
      <c r="B9" s="18">
        <f>4*B3+4*B4+9*B8</f>
        <v/>
      </c>
      <c r="C9" s="10" t="inlineStr">
        <is>
          <t>'=4*B3+4*B4+9*B8</t>
        </is>
      </c>
      <c r="D9" s="11" t="inlineStr">
        <is>
          <t>4×蛋白質 + 4×碳水 + 9×脂肪——用來交叉驗證資料庫的 Energy 值</t>
        </is>
      </c>
    </row>
    <row r="11">
      <c r="A11" s="3" t="inlineStr">
        <is>
          <t>換算每份 66 g（美制 RACC 1/2 杯×0.56 g/mL 密度，含 overrun 打入的空氣）</t>
        </is>
      </c>
    </row>
    <row r="12">
      <c r="A12" s="5" t="inlineStr">
        <is>
          <t>項目</t>
        </is>
      </c>
      <c r="B12" s="5" t="inlineStr">
        <is>
          <t>結果</t>
        </is>
      </c>
      <c r="C12" s="5" t="inlineStr">
        <is>
          <t>公式</t>
        </is>
      </c>
      <c r="D12" s="5" t="inlineStr">
        <is>
          <t>說明</t>
        </is>
      </c>
    </row>
    <row r="13">
      <c r="A13" s="6" t="inlineStr">
        <is>
          <t>每份重量 (g)</t>
        </is>
      </c>
      <c r="B13" s="8" t="n">
        <v>66</v>
      </c>
      <c r="D13" s="11" t="inlineStr">
        <is>
          <t>= 118 mL × 0.56 g/mL；新制 2/3 杯≈88 g，改這裡即可</t>
        </is>
      </c>
    </row>
    <row r="14">
      <c r="A14" s="6" t="inlineStr">
        <is>
          <t>份量比例 serv/100</t>
        </is>
      </c>
      <c r="B14" s="23">
        <f>B13/100</f>
        <v/>
      </c>
      <c r="C14" s="10" t="inlineStr">
        <is>
          <t>'=B13/100</t>
        </is>
      </c>
    </row>
    <row r="15">
      <c r="A15" s="13" t="inlineStr">
        <is>
          <t>熱量/份 (kcal)</t>
        </is>
      </c>
      <c r="B15" s="18">
        <f>B9*B14</f>
        <v/>
      </c>
      <c r="C15" s="10" t="inlineStr">
        <is>
          <t>'=B9*B14</t>
        </is>
      </c>
      <c r="D15" s="11" t="inlineStr">
        <is>
          <t>未套 FDA 捨入前的原始值</t>
        </is>
      </c>
    </row>
    <row r="16">
      <c r="A16" s="6" t="inlineStr">
        <is>
          <t>熱量/份 FDA捨入 (kcal)</t>
        </is>
      </c>
      <c r="B16" s="24">
        <f>IF(B15&lt;=5,0,IF(B15&lt;=50,ROUND(B15/5,0)*5,ROUND(B15/10,0)*10))</f>
        <v/>
      </c>
      <c r="C16" s="10" t="inlineStr">
        <is>
          <t>'=IF(B15&lt;=5,0,IF(B15&lt;=50,ROUND(B15/5,0)*5,ROUND(B15/10,0)*10))</t>
        </is>
      </c>
      <c r="D16" s="11" t="inlineStr">
        <is>
          <t>FDA 簡化捨入規則：≤5記0；≤50取5的倍數；否則取10的倍數</t>
        </is>
      </c>
    </row>
    <row r="17">
      <c r="A17" s="6" t="inlineStr">
        <is>
          <t>蛋白質/份 FDA捨入 (g)</t>
        </is>
      </c>
      <c r="B17" s="24">
        <f>IF(B3*B14&lt;0.5,0,ROUND(B3*B14,0))</f>
        <v/>
      </c>
      <c r="C17" s="10" t="inlineStr">
        <is>
          <t>'=IF(B3*B14&lt;0.5,0,ROUND(B3*B14,0))</t>
        </is>
      </c>
      <c r="D17" s="11" t="inlineStr">
        <is>
          <t>&lt;0.5g記0，否則四捨五入</t>
        </is>
      </c>
    </row>
    <row r="18">
      <c r="A18" s="6" t="inlineStr">
        <is>
          <t>脂肪/份 FDA捨入 (g)</t>
        </is>
      </c>
      <c r="B18" s="24">
        <f>IF(B8*B14&lt;0.5,0,ROUND(B8*B14,0))</f>
        <v/>
      </c>
      <c r="C18" s="10" t="inlineStr">
        <is>
          <t>'=IF(B8*B14&lt;0.5,0,ROUND(B8*B14,0))</t>
        </is>
      </c>
    </row>
    <row r="19">
      <c r="A19" s="6" t="inlineStr">
        <is>
          <t>碳水/份 FDA捨入 (g)</t>
        </is>
      </c>
      <c r="B19" s="24">
        <f>IF(B4*B14&lt;0.5,0,ROUND(B4*B14,0))</f>
        <v/>
      </c>
      <c r="C19" s="10" t="inlineStr">
        <is>
          <t>'=IF(B4*B14&lt;0.5,0,ROUND(B4*B14,0))</t>
        </is>
      </c>
    </row>
    <row r="20">
      <c r="A20" s="6" t="inlineStr">
        <is>
          <t>糖/份 FDA捨入 (g)</t>
        </is>
      </c>
      <c r="B20" s="24">
        <f>IF(B6*B14&lt;0.5,0,ROUND(B6*B14,0))</f>
        <v/>
      </c>
      <c r="C20" s="10" t="inlineStr">
        <is>
          <t>'=IF(B6*B14&lt;0.5,0,ROUND(B6*B14,0))</t>
        </is>
      </c>
    </row>
    <row r="21">
      <c r="A21" s="6" t="inlineStr">
        <is>
          <t>鈉/份 FDA捨入 (mg)</t>
        </is>
      </c>
      <c r="B21" s="24">
        <f>ROUND(B7*B14/5,0)*5</f>
        <v/>
      </c>
      <c r="C21" s="10" t="inlineStr">
        <is>
          <t>'=ROUND(B7*B14/5,0)*5</t>
        </is>
      </c>
      <c r="D21" s="11" t="inlineStr">
        <is>
          <t>5–140mg取5的倍數（簡化版）</t>
        </is>
      </c>
    </row>
    <row r="23">
      <c r="A23" s="11" t="inlineStr">
        <is>
          <t>教學簡化版捨入規則，實際以最新法規為準；算出來的標籤應接近 140kcal/3g蛋白/8g脂肪/15g碳水/14g糖/55mg鈉。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2" customWidth="1" min="4" max="4"/>
    <col width="50" customWidth="1" min="5" max="5"/>
  </cols>
  <sheetData>
    <row r="1">
      <c r="A1" s="5" t="inlineStr">
        <is>
          <t>項目</t>
        </is>
      </c>
      <c r="B1" s="5" t="inlineStr">
        <is>
          <t>Excel 算出來</t>
        </is>
      </c>
      <c r="C1" s="5" t="inlineStr">
        <is>
          <t>R 的答案</t>
        </is>
      </c>
      <c r="D1" s="5" t="inlineStr">
        <is>
          <t>一致？</t>
        </is>
      </c>
      <c r="E1" s="5" t="inlineStr">
        <is>
          <t>來源儲存格</t>
        </is>
      </c>
    </row>
    <row r="2">
      <c r="A2" s="6" t="inlineStr">
        <is>
          <t>驗算：最便宜解總質量</t>
        </is>
      </c>
      <c r="B2" s="25">
        <f>'最低成本驗算表'!B10</f>
        <v/>
      </c>
      <c r="C2" s="25" t="n">
        <v>82.5</v>
      </c>
      <c r="D2" s="26">
        <f>IF(ABS(B2-C2)&lt;=0.04125,"✓","✗")</f>
        <v/>
      </c>
      <c r="E2" s="27" t="inlineStr">
        <is>
          <t>'最低成本驗算表'!B10</t>
        </is>
      </c>
    </row>
    <row r="3">
      <c r="A3" s="6" t="inlineStr">
        <is>
          <t>驗算：最便宜解脂肪合量</t>
        </is>
      </c>
      <c r="B3" s="25">
        <f>'最低成本驗算表'!B11</f>
        <v/>
      </c>
      <c r="C3" s="25" t="n">
        <v>12</v>
      </c>
      <c r="D3" s="26">
        <f>IF(ABS(B3-C3)&lt;=0.006,"✓","✗")</f>
        <v/>
      </c>
      <c r="E3" s="27" t="inlineStr">
        <is>
          <t>'最低成本驗算表'!B11</t>
        </is>
      </c>
    </row>
    <row r="4">
      <c r="A4" s="6" t="inlineStr">
        <is>
          <t>驗算：最便宜解MSNF合量</t>
        </is>
      </c>
      <c r="B4" s="25">
        <f>'最低成本驗算表'!B12</f>
        <v/>
      </c>
      <c r="C4" s="25" t="n">
        <v>11</v>
      </c>
      <c r="D4" s="26">
        <f>IF(ABS(B4-C4)&lt;=0.0055,"✓","✗")</f>
        <v/>
      </c>
      <c r="E4" s="27" t="inlineStr">
        <is>
          <t>'最低成本驗算表'!B12</t>
        </is>
      </c>
    </row>
    <row r="5">
      <c r="A5" s="6" t="inlineStr">
        <is>
          <t>驗算：最便宜解成本</t>
        </is>
      </c>
      <c r="B5" s="25">
        <f>'最低成本驗算表'!B14</f>
        <v/>
      </c>
      <c r="C5" s="25" t="n">
        <v>11168.97461</v>
      </c>
      <c r="D5" s="26">
        <f>IF(ABS(B5-C5)&lt;=5.584487305,"✓","✗")</f>
        <v/>
      </c>
      <c r="E5" s="27" t="inlineStr">
        <is>
          <t>'最低成本驗算表'!B14</t>
        </is>
      </c>
    </row>
    <row r="6">
      <c r="A6" s="6" t="inlineStr">
        <is>
          <t>驗算：最貴解成本</t>
        </is>
      </c>
      <c r="B6" s="25">
        <f>'最低成本驗算表'!B29</f>
        <v/>
      </c>
      <c r="C6" s="25" t="n">
        <v>11479.64328</v>
      </c>
      <c r="D6" s="26">
        <f>IF(ABS(B6-C6)&lt;=5.739821640000001,"✓","✗")</f>
        <v/>
      </c>
      <c r="E6" s="27" t="inlineStr">
        <is>
          <t>'最低成本驗算表'!B29</t>
        </is>
      </c>
    </row>
    <row r="7">
      <c r="A7" s="6" t="inlineStr">
        <is>
          <t>驗算：逆向工程解成本</t>
        </is>
      </c>
      <c r="B7" s="25">
        <f>'最低成本驗算表'!B44</f>
        <v/>
      </c>
      <c r="C7" s="25" t="n">
        <v>10791.00964</v>
      </c>
      <c r="D7" s="26">
        <f>IF(ABS(B7-C7)&lt;=5.39550482,"✓","✗")</f>
        <v/>
      </c>
      <c r="E7" s="27" t="inlineStr">
        <is>
          <t>'最低成本驗算表'!B44</t>
        </is>
      </c>
    </row>
    <row r="8">
      <c r="A8" s="6" t="inlineStr">
        <is>
          <t>驗算：逆向工程解脂肪合量</t>
        </is>
      </c>
      <c r="B8" s="25">
        <f>'最低成本驗算表'!B41</f>
        <v/>
      </c>
      <c r="C8" s="25" t="n">
        <v>10.8</v>
      </c>
      <c r="D8" s="26">
        <f>IF(ABS(B8-C8)&lt;=0.01,"✓","✗")</f>
        <v/>
      </c>
      <c r="E8" s="27" t="inlineStr">
        <is>
          <t>'最低成本驗算表'!B41</t>
        </is>
      </c>
    </row>
    <row r="9">
      <c r="A9" s="6" t="inlineStr">
        <is>
          <t>驗算：逆向工程解MSNF合量</t>
        </is>
      </c>
      <c r="B9" s="25">
        <f>'最低成本驗算表'!B42</f>
        <v/>
      </c>
      <c r="C9" s="25" t="n">
        <v>12.22222222</v>
      </c>
      <c r="D9" s="26">
        <f>IF(ABS(B9-C9)&lt;=0.01,"✓","✗")</f>
        <v/>
      </c>
      <c r="E9" s="27" t="inlineStr">
        <is>
          <t>'最低成本驗算表'!B42</t>
        </is>
      </c>
    </row>
    <row r="10">
      <c r="A10" s="6" t="inlineStr">
        <is>
          <t>蛋白質 (g/100g)</t>
        </is>
      </c>
      <c r="B10" s="25">
        <f>'營養標籤與Atwater'!B3</f>
        <v/>
      </c>
      <c r="C10" s="25" t="n">
        <v>4.089231935</v>
      </c>
      <c r="D10" s="26">
        <f>IF(ABS(B10-C10)&lt;=0.0020446159675,"✓","✗")</f>
        <v/>
      </c>
      <c r="E10" s="27" t="inlineStr">
        <is>
          <t>'營養標籤與Atwater'!B3</t>
        </is>
      </c>
    </row>
    <row r="11">
      <c r="A11" s="6" t="inlineStr">
        <is>
          <t>碳水化合物 (g/100g)</t>
        </is>
      </c>
      <c r="B11" s="25">
        <f>'營養標籤與Atwater'!B4</f>
        <v/>
      </c>
      <c r="C11" s="25" t="n">
        <v>22.30108612</v>
      </c>
      <c r="D11" s="26">
        <f>IF(ABS(B11-C11)&lt;=0.01115054306,"✓","✗")</f>
        <v/>
      </c>
      <c r="E11" s="27" t="inlineStr">
        <is>
          <t>'營養標籤與Atwater'!B4</t>
        </is>
      </c>
    </row>
    <row r="12">
      <c r="A12" s="6" t="inlineStr">
        <is>
          <t>鈉 (mg/100g)</t>
        </is>
      </c>
      <c r="B12" s="25">
        <f>'營養標籤與Atwater'!B7</f>
        <v/>
      </c>
      <c r="C12" s="25" t="n">
        <v>84.80364717</v>
      </c>
      <c r="D12" s="26">
        <f>IF(ABS(B12-C12)&lt;=0.042401823585000005,"✓","✗")</f>
        <v/>
      </c>
      <c r="E12" s="27" t="inlineStr">
        <is>
          <t>'營養標籤與Atwater'!B7</t>
        </is>
      </c>
    </row>
    <row r="13">
      <c r="A13" s="6" t="inlineStr">
        <is>
          <t>熱量 Atwater (kcal/100g)</t>
        </is>
      </c>
      <c r="B13" s="25">
        <f>'營養標籤與Atwater'!B9</f>
        <v/>
      </c>
      <c r="C13" s="25" t="n">
        <v>213.5612722</v>
      </c>
      <c r="D13" s="26">
        <f>IF(ABS(B13-C13)&lt;=0.10678063609999999,"✓","✗")</f>
        <v/>
      </c>
      <c r="E13" s="27" t="inlineStr">
        <is>
          <t>'營養標籤與Atwater'!B9</t>
        </is>
      </c>
    </row>
    <row r="14">
      <c r="A14" s="6" t="inlineStr">
        <is>
          <t>熱量/份 (kcal)</t>
        </is>
      </c>
      <c r="B14" s="25">
        <f>'營養標籤與Atwater'!B15</f>
        <v/>
      </c>
      <c r="C14" s="25" t="n">
        <v>140.9504397</v>
      </c>
      <c r="D14" s="26">
        <f>IF(ABS(B14-C14)&lt;=0.07047521985,"✓","✗")</f>
        <v/>
      </c>
      <c r="E14" s="27" t="inlineStr">
        <is>
          <t>'營養標籤與Atwater'!B15</t>
        </is>
      </c>
    </row>
    <row r="16">
      <c r="A16" s="11" t="inlineStr">
        <is>
          <t>如果你改了黃色儲存格的數據，這裡當然會變成 ✗——那是因為 R 的答案是用原始教材數據算的。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2026-09-17T18:08:37Z</dcterms:created>
  <dcterms:modified xmlns:dcterms="http://purl.org/dc/terms/" xmlns:xsi="http://www.w3.org/2001/XMLSchema-instance" xsi:type="dcterms:W3CDTF">2026-09-17T18:08:37Z</dcterms:modified>
</cp:coreProperties>
</file>