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TypeA_TypeB對照表" sheetId="2" state="visible" r:id="rId2"/>
    <sheet xmlns:r="http://schemas.openxmlformats.org/officeDocument/2006/relationships" name="天平稱量預算_100mg" sheetId="3" state="visible" r:id="rId3"/>
    <sheet xmlns:r="http://schemas.openxmlformats.org/officeDocument/2006/relationships" name="情境比較_稱量1_10" sheetId="4" state="visible" r:id="rId4"/>
    <sheet xmlns:r="http://schemas.openxmlformats.org/officeDocument/2006/relationships" name="對照R答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0.000000"/>
    <numFmt numFmtId="167" formatCode="0.0%"/>
  </numFmts>
  <fonts count="10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Consolas"/>
      <color rgb="001565C0"/>
      <sz val="10"/>
    </font>
    <font>
      <name val="Microsoft JhengHei"/>
      <b val="1"/>
    </font>
    <font>
      <name val="Microsoft JhengHei"/>
      <b val="1"/>
      <sz val="1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164" fontId="6" fillId="3" borderId="1" pivotButton="0" quotePrefix="0" xfId="0"/>
    <xf numFmtId="0" fontId="6" fillId="0" borderId="1" pivotButton="0" quotePrefix="0" xfId="0"/>
    <xf numFmtId="1" fontId="6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165" fontId="8" fillId="4" borderId="1" pivotButton="0" quotePrefix="0" xfId="0"/>
    <xf numFmtId="0" fontId="2" fillId="0" borderId="0" applyAlignment="1" pivotButton="0" quotePrefix="0" xfId="0">
      <alignment vertical="top" wrapText="1"/>
    </xf>
    <xf numFmtId="2" fontId="6" fillId="3" borderId="1" pivotButton="0" quotePrefix="0" xfId="0"/>
    <xf numFmtId="1" fontId="6" fillId="3" borderId="1" pivotButton="0" quotePrefix="0" xfId="0"/>
    <xf numFmtId="0" fontId="9" fillId="0" borderId="0" applyAlignment="1" pivotButton="0" quotePrefix="0" xfId="0">
      <alignment vertical="top" wrapText="1"/>
    </xf>
    <xf numFmtId="165" fontId="6" fillId="3" borderId="1" pivotButton="0" quotePrefix="0" xfId="0"/>
    <xf numFmtId="166" fontId="6" fillId="0" borderId="1" pivotButton="0" quotePrefix="0" xfId="0"/>
    <xf numFmtId="167" fontId="6" fillId="0" borderId="1" pivotButton="0" quotePrefix="0" xfId="0"/>
    <xf numFmtId="166" fontId="6" fillId="3" borderId="1" pivotButton="0" quotePrefix="0" xfId="0"/>
    <xf numFmtId="165" fontId="6" fillId="0" borderId="1" pivotButton="0" quotePrefix="0" xfId="0"/>
    <xf numFmtId="2" fontId="6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Ch7 Type A/B 分布轉換 ＋ 分析天平稱量不確定度預算</t>
        </is>
      </c>
    </row>
    <row r="2">
      <c r="A2" s="2" t="inlineStr">
        <is>
          <t>對應網頁：ch07.html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「TypeA_TypeB對照表」把課本教的六種常見換算（Type A 的 s 與 s/√n；Type B 的矩形÷√3、三角÷√6、常態÷k）全部排在一張表，重點是「除以哪個數」。</t>
        </is>
      </c>
    </row>
    <row r="6">
      <c r="A6" s="4" t="inlineStr">
        <is>
          <t>「天平稱量預算」用 QUAM Example A1 的鎘標準液配製案例，把讀值解析度、校正線性、重複性三個來源合成成 u(m)，再套進 c(Cd)=1000·m·P/V，看質量／純度／體積三者對最終濃度各貢獻多少。</t>
        </is>
      </c>
    </row>
    <row r="7">
      <c r="A7" s="4" t="inlineStr">
        <is>
          <t>「情境比較_稱量1_10」示範同一台天平、稱樣量從 100 mg 改成 10 mg 時，質量項的貢獻怎麼從次要項暴增為主導項——這是分析化學裡「稱樣量太小」最經典的地雷。</t>
        </is>
      </c>
    </row>
    <row r="8">
      <c r="A8" s="3" t="inlineStr">
        <is>
          <t>怎麼用</t>
        </is>
      </c>
    </row>
    <row r="9">
      <c r="A9" s="4" t="inlineStr">
        <is>
          <t>1.「TypeA_TypeB對照表」黃色是各情境的 s 或 ±a，改了會看到對應 u 重算；留意矩形/三角/常態三種分布的 u 從大到小排列（矩形最保守）。</t>
        </is>
      </c>
    </row>
    <row r="10">
      <c r="A10" s="4" t="inlineStr">
        <is>
          <t>2.「天平稱量預算」黃色是三個來源的數值（半寬 a 或重複稱重數據），以及最終 m、P、V；u(m) 算出來後會自動流入下方的濃度貢獻計算。</t>
        </is>
      </c>
    </row>
    <row r="11">
      <c r="A11" s="4" t="inlineStr">
        <is>
          <t>3.「情境比較_稱量1_10」的 B2（稱樣量）改成別的數字，看質量貢獻怎麼變化。</t>
        </is>
      </c>
    </row>
    <row r="12">
      <c r="A12" s="4" t="inlineStr">
        <is>
          <t>4.「對照R答案」核對所有關鍵結果。</t>
        </is>
      </c>
    </row>
    <row r="13">
      <c r="A13" s="3" t="inlineStr">
        <is>
          <t>這章最重要的觀念</t>
        </is>
      </c>
    </row>
    <row r="14">
      <c r="A14" s="4" t="inlineStr">
        <is>
          <t>Type B 不是「一律用矩形分布」：先問「±a 代表什麼」——證書直接給 U 與 k 就直接除以 k；寫成常態 95% 區間就除以 1.96；只知道界限、界限內同樣可能就除以 √3（矩形，最保守）；有證據顯示中間值最常見就除以 √6（三角形）。</t>
        </is>
      </c>
    </row>
    <row r="15">
      <c r="A15" s="4" t="inlineStr">
        <is>
          <t>絕對不確定度不會因為稱樣量變小而變小，但相對不確定度（u/x）會放大——這正是「稱樣量太小」讓一個原本次要的來源變成主導項的原因。</t>
        </is>
      </c>
    </row>
    <row r="16">
      <c r="A16" s="3" t="inlineStr">
        <is>
          <t>Excel 資料分析工具箱：這裡沒有直接對應的工具</t>
        </is>
      </c>
    </row>
    <row r="17">
      <c r="A17" s="4" t="inlineStr">
        <is>
          <t>不確定度預算表本質是「把每個來源的數字填進固定公式」，Analysis ToolPak 沒有專門的「不確定度合成」工具；唯一能借用的是「敘述統計」算 Type A 重複量測的標準差（做法見 ch06 說明頁），其餘 Type B 的換算與最後的平方和合成，都要靠本活頁簿的公式（或 ch08 會用到的 SUMSQ）自己算。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60" customWidth="1" min="4" max="4"/>
  </cols>
  <sheetData>
    <row r="1">
      <c r="A1" s="5" t="inlineStr">
        <is>
          <t>天平重複稱重 (mg)</t>
        </is>
      </c>
    </row>
    <row r="2">
      <c r="A2" s="6" t="n">
        <v>1001.2</v>
      </c>
    </row>
    <row r="3">
      <c r="A3" s="6" t="n">
        <v>1000.8</v>
      </c>
    </row>
    <row r="4">
      <c r="A4" s="6" t="n">
        <v>1001.5</v>
      </c>
    </row>
    <row r="5">
      <c r="A5" s="6" t="n">
        <v>1001</v>
      </c>
    </row>
    <row r="6">
      <c r="A6" s="6" t="n">
        <v>1000.9</v>
      </c>
    </row>
    <row r="8">
      <c r="A8" s="5" t="inlineStr">
        <is>
          <t>項目</t>
        </is>
      </c>
      <c r="B8" s="5" t="inlineStr">
        <is>
          <t>結果</t>
        </is>
      </c>
      <c r="C8" s="5" t="inlineStr">
        <is>
          <t>公式</t>
        </is>
      </c>
      <c r="D8" s="5" t="inlineStr">
        <is>
          <t>白話說明</t>
        </is>
      </c>
    </row>
    <row r="9">
      <c r="A9" s="7" t="inlineStr">
        <is>
          <t>n（重複次數）</t>
        </is>
      </c>
      <c r="B9" s="8">
        <f>COUNT(A2:A6)</f>
        <v/>
      </c>
      <c r="C9" s="9" t="inlineStr">
        <is>
          <t>'=COUNT(A2:A6)</t>
        </is>
      </c>
    </row>
    <row r="10">
      <c r="A10" s="10" t="inlineStr">
        <is>
          <t>Type A：u(x) = s（單次量測）</t>
        </is>
      </c>
      <c r="B10" s="11">
        <f>_xlfn.STDEV.S(A2:A6)</f>
        <v/>
      </c>
      <c r="C10" s="9" t="inlineStr">
        <is>
          <t>'=STDEV.S(A2:A6)</t>
        </is>
      </c>
      <c r="D10" s="12" t="inlineStr">
        <is>
          <t>直接用重複量測的實驗標準差當標準不確定度</t>
        </is>
      </c>
    </row>
    <row r="11">
      <c r="A11" s="10" t="inlineStr">
        <is>
          <t>Type A：若結果是平均，u = s/√n</t>
        </is>
      </c>
      <c r="B11" s="11">
        <f>B10/SQRT(B9)</f>
        <v/>
      </c>
      <c r="C11" s="9" t="inlineStr">
        <is>
          <t>'=B10/SQRT(B9)</t>
        </is>
      </c>
      <c r="D11" s="12" t="inlineStr">
        <is>
          <t>報「5 次平均」才除以 √n；報單次量測不能除</t>
        </is>
      </c>
    </row>
    <row r="13">
      <c r="A13" s="7" t="inlineStr">
        <is>
          <t>校正證書 U（擴展不確定度）</t>
        </is>
      </c>
      <c r="B13" s="13" t="n">
        <v>0.2</v>
      </c>
      <c r="D13" s="12" t="inlineStr">
        <is>
          <t>校正證書直接給的擴展不確定度</t>
        </is>
      </c>
    </row>
    <row r="14">
      <c r="A14" s="7" t="inlineStr">
        <is>
          <t>涵蓋因子 k</t>
        </is>
      </c>
      <c r="B14" s="14" t="n">
        <v>2</v>
      </c>
      <c r="D14" s="12" t="inlineStr">
        <is>
          <t>證書上寫的 k</t>
        </is>
      </c>
    </row>
    <row r="15">
      <c r="A15" s="10" t="inlineStr">
        <is>
          <t>Type B：u = U/k（證書已給 U, k）</t>
        </is>
      </c>
      <c r="B15" s="11">
        <f>B13/B14</f>
        <v/>
      </c>
      <c r="C15" s="9" t="inlineStr">
        <is>
          <t>'=B13/B14</t>
        </is>
      </c>
      <c r="D15" s="12" t="inlineStr">
        <is>
          <t>已經是擴展不確定度就直接除以 k，不要再除以 √3</t>
        </is>
      </c>
    </row>
    <row r="17">
      <c r="A17" s="7" t="inlineStr">
        <is>
          <t>矩形分布 ±a（只知道界限）</t>
        </is>
      </c>
      <c r="B17" s="13" t="n">
        <v>0.2</v>
      </c>
      <c r="D17" s="12" t="inlineStr">
        <is>
          <t>10 mL 量瓶證書 ±0.2 mL，沒有其他資訊</t>
        </is>
      </c>
    </row>
    <row r="18">
      <c r="A18" s="10" t="inlineStr">
        <is>
          <t>Type B：矩形 u = a/√3</t>
        </is>
      </c>
      <c r="B18" s="11">
        <f>B17/SQRT(3)</f>
        <v/>
      </c>
      <c r="C18" s="9" t="inlineStr">
        <is>
          <t>'=B17/SQRT(3)</t>
        </is>
      </c>
      <c r="D18" s="12" t="inlineStr">
        <is>
          <t>界限內同樣可能出現，最保守</t>
        </is>
      </c>
    </row>
    <row r="19">
      <c r="A19" s="7" t="inlineStr">
        <is>
          <t>三角形分布 ±a（極端值罕見）</t>
        </is>
      </c>
      <c r="B19" s="13" t="n">
        <v>0.2</v>
      </c>
      <c r="D19" s="12" t="inlineStr">
        <is>
          <t>同一支量瓶，但內部查核顯示極端值少見</t>
        </is>
      </c>
    </row>
    <row r="20">
      <c r="A20" s="10" t="inlineStr">
        <is>
          <t>Type B：三角形 u = a/√6</t>
        </is>
      </c>
      <c r="B20" s="11">
        <f>B19/SQRT(6)</f>
        <v/>
      </c>
      <c r="C20" s="9" t="inlineStr">
        <is>
          <t>'=B19/SQRT(6)</t>
        </is>
      </c>
      <c r="D20" s="12" t="inlineStr">
        <is>
          <t>中間值最常見，比矩形不保守</t>
        </is>
      </c>
    </row>
    <row r="21">
      <c r="A21" s="7" t="inlineStr">
        <is>
          <t>常態分布 ±a（95% 信賴區間）</t>
        </is>
      </c>
      <c r="B21" s="13" t="n">
        <v>0.2</v>
      </c>
      <c r="D21" s="12" t="inlineStr">
        <is>
          <t>天平讀值 ±0.2 mg，證書明確寫 95% 信賴</t>
        </is>
      </c>
    </row>
    <row r="22">
      <c r="A22" s="10" t="inlineStr">
        <is>
          <t>Type B：常態 u = a/1.96</t>
        </is>
      </c>
      <c r="B22" s="11">
        <f>B21/_xlfn.NORM.S.INV(0.975)</f>
        <v/>
      </c>
      <c r="C22" s="9" t="inlineStr">
        <is>
          <t>'=B21/NORM.S.INV(0.975)</t>
        </is>
      </c>
      <c r="D22" s="12" t="inlineStr">
        <is>
          <t>NORM.S.INV(0.975) 就是雙尾 95% 的 1.96</t>
        </is>
      </c>
    </row>
    <row r="24">
      <c r="A24" s="15" t="inlineStr">
        <is>
          <t>同樣的 ±0.2，矩形(0.1155) &gt; 常態95%(0.1020) &gt; 三角形(0.0816)——資訊越明確（知道中間值更常見、或直接給了信賴水準），換算出的 u 越小。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20" customWidth="1" min="4" max="4"/>
    <col width="16" customWidth="1" min="5" max="5"/>
    <col width="12" customWidth="1" min="6" max="6"/>
    <col width="12" customWidth="1" min="7" max="7"/>
    <col width="46" customWidth="1" min="8" max="8"/>
  </cols>
  <sheetData>
    <row r="1">
      <c r="A1" s="5" t="inlineStr">
        <is>
          <t>重複稱重 6 次 (mg)</t>
        </is>
      </c>
    </row>
    <row r="2">
      <c r="A2" s="13" t="n">
        <v>100.03</v>
      </c>
    </row>
    <row r="3">
      <c r="A3" s="13" t="n">
        <v>100.08</v>
      </c>
    </row>
    <row r="4">
      <c r="A4" s="13" t="n">
        <v>100.02</v>
      </c>
    </row>
    <row r="5">
      <c r="A5" s="13" t="n">
        <v>100.09</v>
      </c>
    </row>
    <row r="6">
      <c r="A6" s="13" t="n">
        <v>100.04</v>
      </c>
    </row>
    <row r="7">
      <c r="A7" s="13" t="n">
        <v>100.01</v>
      </c>
    </row>
    <row r="9">
      <c r="A9" s="5" t="inlineStr">
        <is>
          <t>項目</t>
        </is>
      </c>
      <c r="B9" s="5" t="inlineStr">
        <is>
          <t>結果</t>
        </is>
      </c>
      <c r="C9" s="5" t="inlineStr">
        <is>
          <t>公式</t>
        </is>
      </c>
      <c r="D9" s="5" t="inlineStr">
        <is>
          <t>白話說明</t>
        </is>
      </c>
    </row>
    <row r="10">
      <c r="A10" s="7" t="inlineStr">
        <is>
          <t>讀值解析度半寬 a (mg)</t>
        </is>
      </c>
      <c r="B10" s="16" t="n">
        <v>0.005</v>
      </c>
      <c r="D10" s="12" t="inlineStr">
        <is>
          <t>五位天平末位刻度 0.01 mg，半寬 = 0.005 mg</t>
        </is>
      </c>
    </row>
    <row r="11">
      <c r="A11" s="10" t="inlineStr">
        <is>
          <t>u(讀值解析度) = a/√3</t>
        </is>
      </c>
      <c r="B11" s="11">
        <f>B10/SQRT(3)</f>
        <v/>
      </c>
      <c r="C11" s="9" t="inlineStr">
        <is>
          <t>'=B10/SQRT(3)</t>
        </is>
      </c>
      <c r="D11" s="12" t="inlineStr">
        <is>
          <t>數位顯示的捨入屬矩形分布</t>
        </is>
      </c>
    </row>
    <row r="12">
      <c r="A12" s="7" t="inlineStr">
        <is>
          <t>校正線性半寬 a (mg)</t>
        </is>
      </c>
      <c r="B12" s="16" t="n">
        <v>0.05</v>
      </c>
      <c r="D12" s="12" t="inlineStr">
        <is>
          <t>校正證書 ±0.05 mg，極端值罕見</t>
        </is>
      </c>
    </row>
    <row r="13">
      <c r="A13" s="10" t="inlineStr">
        <is>
          <t>u(校正線性) = a/√6</t>
        </is>
      </c>
      <c r="B13" s="11">
        <f>B12/SQRT(6)</f>
        <v/>
      </c>
      <c r="C13" s="9" t="inlineStr">
        <is>
          <t>'=B12/SQRT(6)</t>
        </is>
      </c>
      <c r="D13" s="12" t="inlineStr">
        <is>
          <t>三角形分布：中間值最常見</t>
        </is>
      </c>
    </row>
    <row r="14">
      <c r="A14" s="7" t="inlineStr">
        <is>
          <t>n（重複稱重次數）</t>
        </is>
      </c>
      <c r="B14" s="8">
        <f>COUNT(A2:A7)</f>
        <v/>
      </c>
      <c r="C14" s="9" t="inlineStr">
        <is>
          <t>'=COUNT(A2:A7)</t>
        </is>
      </c>
    </row>
    <row r="15">
      <c r="A15" s="10" t="inlineStr">
        <is>
          <t>u(重複性)（Type A，同一物件稱 6 次的 SD）</t>
        </is>
      </c>
      <c r="B15" s="11">
        <f>_xlfn.STDEV.S(A2:A7)</f>
        <v/>
      </c>
      <c r="C15" s="9" t="inlineStr">
        <is>
          <t>'=STDEV.S(A2:A7)</t>
        </is>
      </c>
    </row>
    <row r="16">
      <c r="A16" s="10" t="inlineStr">
        <is>
          <t>單次稱重（皮重或毛重）合成 u</t>
        </is>
      </c>
      <c r="B16" s="11">
        <f>SQRT(SUMSQ(B11,B13,B15))</f>
        <v/>
      </c>
      <c r="C16" s="9" t="inlineStr">
        <is>
          <t>'=SQRT(SUMSQ(B11,B13,B15))</t>
        </is>
      </c>
      <c r="D16" s="12" t="inlineStr">
        <is>
          <t>皮重、毛重各稱一次，各自都含這三個來源</t>
        </is>
      </c>
    </row>
    <row r="17">
      <c r="A17" s="10" t="inlineStr">
        <is>
          <t>淨重 u(m)：皮重+毛重兩次稱重合成</t>
        </is>
      </c>
      <c r="B17" s="11">
        <f>SQRT(2)*B16</f>
        <v/>
      </c>
      <c r="C17" s="9" t="inlineStr">
        <is>
          <t>'=SQRT(2)*B16</t>
        </is>
      </c>
      <c r="D17" s="12" t="inlineStr">
        <is>
          <t>淨重 = 毛重 − 皮重，兩次稱重的變異各自獨立要合成</t>
        </is>
      </c>
    </row>
    <row r="19">
      <c r="A19" s="5" t="inlineStr">
        <is>
          <t>來源</t>
        </is>
      </c>
      <c r="B19" s="5" t="inlineStr">
        <is>
          <t>數值</t>
        </is>
      </c>
      <c r="C19" s="5" t="inlineStr">
        <is>
          <t>分布</t>
        </is>
      </c>
      <c r="D19" s="5" t="inlineStr">
        <is>
          <t>除數</t>
        </is>
      </c>
      <c r="E19" s="5" t="inlineStr">
        <is>
          <t>標準不確定度 u</t>
        </is>
      </c>
      <c r="F19" s="5" t="inlineStr">
        <is>
          <t>相對 u (u/x)</t>
        </is>
      </c>
      <c r="G19" s="5" t="inlineStr">
        <is>
          <t>u² 占比</t>
        </is>
      </c>
    </row>
    <row r="20">
      <c r="A20" s="7" t="inlineStr">
        <is>
          <t>質量 m (mg)</t>
        </is>
      </c>
      <c r="B20" s="16" t="n">
        <v>100.28</v>
      </c>
      <c r="C20" s="7" t="inlineStr">
        <is>
          <t>—（見上方合成）</t>
        </is>
      </c>
      <c r="D20" s="7" t="inlineStr">
        <is>
          <t>—</t>
        </is>
      </c>
      <c r="E20" s="17">
        <f>B17</f>
        <v/>
      </c>
      <c r="F20" s="17">
        <f>E20/B20</f>
        <v/>
      </c>
      <c r="G20" s="18">
        <f>F20^2/SUMSQ($F$20:$F$22)</f>
        <v/>
      </c>
    </row>
    <row r="21">
      <c r="A21" s="7" t="inlineStr">
        <is>
          <t>純度 P（證書純度分數）</t>
        </is>
      </c>
      <c r="B21" s="16" t="n">
        <v>0.9999</v>
      </c>
      <c r="C21" s="7" t="inlineStr">
        <is>
          <t>常態（證書）</t>
        </is>
      </c>
      <c r="D21" s="7" t="inlineStr">
        <is>
          <t>—</t>
        </is>
      </c>
      <c r="E21" s="19" t="n">
        <v>5.8e-05</v>
      </c>
      <c r="F21" s="17">
        <f>E21/B21</f>
        <v/>
      </c>
      <c r="G21" s="18">
        <f>F21^2/SUMSQ($F$20:$F$22)</f>
        <v/>
      </c>
    </row>
    <row r="22">
      <c r="A22" s="7" t="inlineStr">
        <is>
          <t>體積 V (mL)</t>
        </is>
      </c>
      <c r="B22" s="16" t="n">
        <v>100</v>
      </c>
      <c r="C22" s="7" t="inlineStr">
        <is>
          <t>常態（含校正+溫度效應）</t>
        </is>
      </c>
      <c r="D22" s="7" t="inlineStr">
        <is>
          <t>—</t>
        </is>
      </c>
      <c r="E22" s="19" t="n">
        <v>0.07000000000000001</v>
      </c>
      <c r="F22" s="17">
        <f>E22/B22</f>
        <v/>
      </c>
      <c r="G22" s="18">
        <f>F22^2/SUMSQ($F$20:$F$22)</f>
        <v/>
      </c>
    </row>
    <row r="24">
      <c r="A24" s="5" t="inlineStr">
        <is>
          <t>項目</t>
        </is>
      </c>
      <c r="B24" s="5" t="inlineStr">
        <is>
          <t>結果</t>
        </is>
      </c>
      <c r="C24" s="5" t="inlineStr">
        <is>
          <t>公式</t>
        </is>
      </c>
      <c r="D24" s="5" t="inlineStr">
        <is>
          <t>白話說明</t>
        </is>
      </c>
    </row>
    <row r="25">
      <c r="A25" s="10" t="inlineStr">
        <is>
          <t>c(Cd) = 1000·m·P/V (mg/L)</t>
        </is>
      </c>
      <c r="B25" s="11">
        <f>1000*B20*B21/B22</f>
        <v/>
      </c>
      <c r="C25" s="9" t="inlineStr">
        <is>
          <t>'=1000*B20*B21/B22</t>
        </is>
      </c>
      <c r="D25" s="12" t="inlineStr">
        <is>
          <t>配製出的標準溶液濃度</t>
        </is>
      </c>
    </row>
    <row r="26">
      <c r="A26" s="10" t="inlineStr">
        <is>
          <t>相對合成不確定度 uc(y)/y</t>
        </is>
      </c>
      <c r="B26" s="11">
        <f>SQRT(SUMSQ(F20,F21,F22))</f>
        <v/>
      </c>
      <c r="C26" s="9" t="inlineStr">
        <is>
          <t>'=SQRT(SUMSQ(F20,F21,F22))</t>
        </is>
      </c>
      <c r="D26" s="12" t="inlineStr">
        <is>
          <t>乘除模型：各相對 u 平方和開根號（Rule 2，見 ch08）</t>
        </is>
      </c>
    </row>
    <row r="27">
      <c r="A27" s="10" t="inlineStr">
        <is>
          <t>合成標準不確定度 uc (mg/L)</t>
        </is>
      </c>
      <c r="B27" s="11">
        <f>B25*B26</f>
        <v/>
      </c>
      <c r="C27" s="9" t="inlineStr">
        <is>
          <t>'=B25*B26</t>
        </is>
      </c>
    </row>
    <row r="28">
      <c r="A28" s="10" t="inlineStr">
        <is>
          <t>質量對濃度的貢獻</t>
        </is>
      </c>
      <c r="B28" s="11">
        <f>B25*F20</f>
        <v/>
      </c>
      <c r="C28" s="9" t="inlineStr">
        <is>
          <t>'=B25*F20</t>
        </is>
      </c>
      <c r="D28" s="12" t="inlineStr">
        <is>
          <t>|∂y/∂m|·u(m)，用相對 u 乘回 y</t>
        </is>
      </c>
    </row>
    <row r="29">
      <c r="A29" s="10" t="inlineStr">
        <is>
          <t>純度對濃度的貢獻</t>
        </is>
      </c>
      <c r="B29" s="11">
        <f>B25*F21</f>
        <v/>
      </c>
      <c r="C29" s="9" t="inlineStr">
        <is>
          <t>'=B25*F21</t>
        </is>
      </c>
    </row>
    <row r="30">
      <c r="A30" s="10" t="inlineStr">
        <is>
          <t>體積對濃度的貢獻</t>
        </is>
      </c>
      <c r="B30" s="11">
        <f>B25*F22</f>
        <v/>
      </c>
      <c r="C30" s="9" t="inlineStr">
        <is>
          <t>'=B25*F22</t>
        </is>
      </c>
    </row>
    <row r="32">
      <c r="A32" s="15" t="inlineStr">
        <is>
          <t>稱 100 mg 時，體積貢獻(0.70) &gt; 質量貢獻(0.55) &gt; 純度貢獻(0.06)——先改善量瓶的精密度，天平反而不是瓶頸。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6" customWidth="1" min="3" max="3"/>
    <col width="54" customWidth="1" min="4" max="4"/>
  </cols>
  <sheetData>
    <row r="1">
      <c r="A1" s="5" t="inlineStr">
        <is>
          <t>項目</t>
        </is>
      </c>
      <c r="B1" s="5" t="inlineStr">
        <is>
          <t>結果</t>
        </is>
      </c>
      <c r="C1" s="5" t="inlineStr">
        <is>
          <t>公式</t>
        </is>
      </c>
      <c r="D1" s="5" t="inlineStr">
        <is>
          <t>白話說明</t>
        </is>
      </c>
    </row>
    <row r="2">
      <c r="A2" s="7" t="inlineStr">
        <is>
          <t>改稱樣量 (mg)：原本 100 mg，現在只稱 1/10</t>
        </is>
      </c>
      <c r="B2" s="6" t="n">
        <v>10</v>
      </c>
      <c r="D2" s="12" t="inlineStr">
        <is>
          <t>配製「同樣濃度」的標準液，但只稱 1/10 的量</t>
        </is>
      </c>
    </row>
    <row r="3">
      <c r="A3" s="7" t="inlineStr">
        <is>
          <t>同一台天平的 u(m)（連結自「天平稱量預算_100mg」）</t>
        </is>
      </c>
      <c r="B3" s="20">
        <f>'天平稱量預算_100mg'!B17</f>
        <v/>
      </c>
      <c r="C3" s="9" t="inlineStr">
        <is>
          <t>'='天平稱量預算_100mg'!B17</t>
        </is>
      </c>
      <c r="D3" s="12" t="inlineStr">
        <is>
          <t>天平的絕對不確定度不會因為稱少而變小</t>
        </is>
      </c>
    </row>
    <row r="4">
      <c r="A4" s="7" t="inlineStr">
        <is>
          <t>目標濃度 c(Cd)（連結自上一張表）</t>
        </is>
      </c>
      <c r="B4" s="20">
        <f>'天平稱量預算_100mg'!B25</f>
        <v/>
      </c>
      <c r="C4" s="9" t="inlineStr">
        <is>
          <t>'='天平稱量預算_100mg'!B25</t>
        </is>
      </c>
      <c r="D4" s="12" t="inlineStr">
        <is>
          <t>假設配製流程調整後，仍配到同樣的目標濃度</t>
        </is>
      </c>
    </row>
    <row r="5">
      <c r="A5" s="10" t="inlineStr">
        <is>
          <t>稱 1/10 時，質量對濃度的貢獻</t>
        </is>
      </c>
      <c r="B5" s="11">
        <f>B4*B3/B2</f>
        <v/>
      </c>
      <c r="C5" s="9" t="inlineStr">
        <is>
          <t>'=B4*B3/B2</t>
        </is>
      </c>
      <c r="D5" s="12" t="inlineStr">
        <is>
          <t>相對不確定度 u(m)/m 放大 10 倍，貢獻也放大約 10 倍</t>
        </is>
      </c>
    </row>
    <row r="6">
      <c r="A6" s="7" t="inlineStr">
        <is>
          <t>體積貢獻（不變，供對照）</t>
        </is>
      </c>
      <c r="B6" s="20">
        <f>'天平稱量預算_100mg'!B30</f>
        <v/>
      </c>
      <c r="C6" s="9" t="inlineStr">
        <is>
          <t>'='天平稱量預算_100mg'!B30</t>
        </is>
      </c>
      <c r="D6" s="12" t="inlineStr">
        <is>
          <t>體積的相對不確定度沒有跟著稱樣量變化</t>
        </is>
      </c>
    </row>
    <row r="7">
      <c r="A7" s="7" t="inlineStr">
        <is>
          <t>質量貢獻放大倍數</t>
        </is>
      </c>
      <c r="B7" s="21">
        <f>B5/'天平稱量預算_100mg'!B28</f>
        <v/>
      </c>
      <c r="C7" s="9" t="inlineStr">
        <is>
          <t>'=B5/'天平稱量預算_100mg'!B28</t>
        </is>
      </c>
      <c r="D7" s="12" t="inlineStr">
        <is>
          <t>應該接近 10 倍（因為分母 m 直接除以 10）</t>
        </is>
      </c>
    </row>
    <row r="9">
      <c r="A9" s="15" t="inlineStr">
        <is>
          <t>稱 100 mg 時質量貢獻(0.55) &lt; 體積貢獻(0.70)；稱 10 mg 時質量貢獻暴增到約 5.48，遠超過體積貢獻——原本次要的天平項變成主導項。這就是為什麼配製低濃度標準液時，「稱樣量太小」是不確定度預算裡最常見的地雷之一。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7" t="inlineStr">
        <is>
          <t>Type A：u(x)=s</t>
        </is>
      </c>
      <c r="B2" s="22">
        <f>'TypeA_TypeB對照表'!B10</f>
        <v/>
      </c>
      <c r="C2" s="22" t="n">
        <v>0.2774887385</v>
      </c>
      <c r="D2" s="23">
        <f>IF(ABS(B2-C2)&lt;=0.00013874436925000001,"✓","✗")</f>
        <v/>
      </c>
      <c r="E2" s="24" t="inlineStr">
        <is>
          <t>'TypeA_TypeB對照表'!B10</t>
        </is>
      </c>
    </row>
    <row r="3">
      <c r="A3" s="7" t="inlineStr">
        <is>
          <t>Type A：u=s/√n</t>
        </is>
      </c>
      <c r="B3" s="22">
        <f>'TypeA_TypeB對照表'!B11</f>
        <v/>
      </c>
      <c r="C3" s="22" t="n">
        <v>0.1240967365</v>
      </c>
      <c r="D3" s="23">
        <f>IF(ABS(B3-C3)&lt;=6.204836825e-05,"✓","✗")</f>
        <v/>
      </c>
      <c r="E3" s="24" t="inlineStr">
        <is>
          <t>'TypeA_TypeB對照表'!B11</t>
        </is>
      </c>
    </row>
    <row r="4">
      <c r="A4" s="7" t="inlineStr">
        <is>
          <t>Type B：u=U/k</t>
        </is>
      </c>
      <c r="B4" s="22">
        <f>'TypeA_TypeB對照表'!B15</f>
        <v/>
      </c>
      <c r="C4" s="22" t="n">
        <v>0.1</v>
      </c>
      <c r="D4" s="23">
        <f>IF(ABS(B4-C4)&lt;=5e-05,"✓","✗")</f>
        <v/>
      </c>
      <c r="E4" s="24" t="inlineStr">
        <is>
          <t>'TypeA_TypeB對照表'!B15</t>
        </is>
      </c>
    </row>
    <row r="5">
      <c r="A5" s="7" t="inlineStr">
        <is>
          <t>Type B：矩形 u=a/√3</t>
        </is>
      </c>
      <c r="B5" s="22">
        <f>'TypeA_TypeB對照表'!B18</f>
        <v/>
      </c>
      <c r="C5" s="22" t="n">
        <v>0.1154700538</v>
      </c>
      <c r="D5" s="23">
        <f>IF(ABS(B5-C5)&lt;=5.7735026900000004e-05,"✓","✗")</f>
        <v/>
      </c>
      <c r="E5" s="24" t="inlineStr">
        <is>
          <t>'TypeA_TypeB對照表'!B18</t>
        </is>
      </c>
    </row>
    <row r="6">
      <c r="A6" s="7" t="inlineStr">
        <is>
          <t>Type B：三角形 u=a/√6</t>
        </is>
      </c>
      <c r="B6" s="22">
        <f>'TypeA_TypeB對照表'!B20</f>
        <v/>
      </c>
      <c r="C6" s="22" t="n">
        <v>0.08164965808999999</v>
      </c>
      <c r="D6" s="23">
        <f>IF(ABS(B6-C6)&lt;=4.0824829044999996e-05,"✓","✗")</f>
        <v/>
      </c>
      <c r="E6" s="24" t="inlineStr">
        <is>
          <t>'TypeA_TypeB對照表'!B20</t>
        </is>
      </c>
    </row>
    <row r="7">
      <c r="A7" s="7" t="inlineStr">
        <is>
          <t>Type B：常態 u=a/1.96</t>
        </is>
      </c>
      <c r="B7" s="22">
        <f>'TypeA_TypeB對照表'!B22</f>
        <v/>
      </c>
      <c r="C7" s="22" t="n">
        <v>0.1020426914</v>
      </c>
      <c r="D7" s="23">
        <f>IF(ABS(B7-C7)&lt;=5.1021345699999997e-05,"✓","✗")</f>
        <v/>
      </c>
      <c r="E7" s="24" t="inlineStr">
        <is>
          <t>'TypeA_TypeB對照表'!B22</t>
        </is>
      </c>
    </row>
    <row r="8">
      <c r="A8" s="7" t="inlineStr">
        <is>
          <t>u(讀值解析度)</t>
        </is>
      </c>
      <c r="B8" s="22">
        <f>'天平稱量預算_100mg'!B11</f>
        <v/>
      </c>
      <c r="C8" s="22" t="n">
        <v>0.002886751346</v>
      </c>
      <c r="D8" s="23">
        <f>IF(ABS(B8-C8)&lt;=1.443375673e-06,"✓","✗")</f>
        <v/>
      </c>
      <c r="E8" s="24" t="inlineStr">
        <is>
          <t>'天平稱量預算_100mg'!B11</t>
        </is>
      </c>
    </row>
    <row r="9">
      <c r="A9" s="7" t="inlineStr">
        <is>
          <t>u(校正線性)</t>
        </is>
      </c>
      <c r="B9" s="22">
        <f>'天平稱量預算_100mg'!B13</f>
        <v/>
      </c>
      <c r="C9" s="22" t="n">
        <v>0.02041241452</v>
      </c>
      <c r="D9" s="23">
        <f>IF(ABS(B9-C9)&lt;=1.020620726e-05,"✓","✗")</f>
        <v/>
      </c>
      <c r="E9" s="24" t="inlineStr">
        <is>
          <t>'天平稱量預算_100mg'!B13</t>
        </is>
      </c>
    </row>
    <row r="10">
      <c r="A10" s="7" t="inlineStr">
        <is>
          <t>u(重複性)</t>
        </is>
      </c>
      <c r="B10" s="22">
        <f>'天平稱量預算_100mg'!B15</f>
        <v/>
      </c>
      <c r="C10" s="22" t="n">
        <v>0.03271085447</v>
      </c>
      <c r="D10" s="23">
        <f>IF(ABS(B10-C10)&lt;=1.6355427235e-05,"✓","✗")</f>
        <v/>
      </c>
      <c r="E10" s="24" t="inlineStr">
        <is>
          <t>'天平稱量預算_100mg'!B15</t>
        </is>
      </c>
    </row>
    <row r="11">
      <c r="A11" s="7" t="inlineStr">
        <is>
          <t>淨重 u(m)</t>
        </is>
      </c>
      <c r="B11" s="22">
        <f>'天平稱量預算_100mg'!B17</f>
        <v/>
      </c>
      <c r="C11" s="22" t="n">
        <v>0.05468089246</v>
      </c>
      <c r="D11" s="23">
        <f>IF(ABS(B11-C11)&lt;=2.734044623e-05,"✓","✗")</f>
        <v/>
      </c>
      <c r="E11" s="24" t="inlineStr">
        <is>
          <t>'天平稱量預算_100mg'!B17</t>
        </is>
      </c>
    </row>
    <row r="12">
      <c r="A12" s="7" t="inlineStr">
        <is>
          <t>c(Cd)</t>
        </is>
      </c>
      <c r="B12" s="22">
        <f>'天平稱量預算_100mg'!B25</f>
        <v/>
      </c>
      <c r="C12" s="22" t="n">
        <v>1002.69972</v>
      </c>
      <c r="D12" s="23">
        <f>IF(ABS(B12-C12)&lt;=0.50134986,"✓","✗")</f>
        <v/>
      </c>
      <c r="E12" s="24" t="inlineStr">
        <is>
          <t>'天平稱量預算_100mg'!B25</t>
        </is>
      </c>
    </row>
    <row r="13">
      <c r="A13" s="7" t="inlineStr">
        <is>
          <t>質量貢獻(100mg)</t>
        </is>
      </c>
      <c r="B13" s="22">
        <f>'天平稱量預算_100mg'!B28</f>
        <v/>
      </c>
      <c r="C13" s="22" t="n">
        <v>0.5467542437</v>
      </c>
      <c r="D13" s="23">
        <f>IF(ABS(B13-C13)&lt;=0.00027337712185000003,"✓","✗")</f>
        <v/>
      </c>
      <c r="E13" s="24" t="inlineStr">
        <is>
          <t>'天平稱量預算_100mg'!B28</t>
        </is>
      </c>
    </row>
    <row r="14">
      <c r="A14" s="7" t="inlineStr">
        <is>
          <t>純度貢獻</t>
        </is>
      </c>
      <c r="B14" s="22">
        <f>'天平稱量預算_100mg'!B29</f>
        <v/>
      </c>
      <c r="C14" s="22" t="n">
        <v>0.0581624</v>
      </c>
      <c r="D14" s="23">
        <f>IF(ABS(B14-C14)&lt;=2.9081200000000002e-05,"✓","✗")</f>
        <v/>
      </c>
      <c r="E14" s="24" t="inlineStr">
        <is>
          <t>'天平稱量預算_100mg'!B29</t>
        </is>
      </c>
    </row>
    <row r="15">
      <c r="A15" s="7" t="inlineStr">
        <is>
          <t>體積貢獻</t>
        </is>
      </c>
      <c r="B15" s="22">
        <f>'天平稱量預算_100mg'!B30</f>
        <v/>
      </c>
      <c r="C15" s="22" t="n">
        <v>0.701889804</v>
      </c>
      <c r="D15" s="23">
        <f>IF(ABS(B15-C15)&lt;=0.00035094490200000003,"✓","✗")</f>
        <v/>
      </c>
      <c r="E15" s="24" t="inlineStr">
        <is>
          <t>'天平稱量預算_100mg'!B30</t>
        </is>
      </c>
    </row>
    <row r="16">
      <c r="A16" s="7" t="inlineStr">
        <is>
          <t>質量貢獻(稱1/10)</t>
        </is>
      </c>
      <c r="B16" s="22">
        <f>'情境比較_稱量1_10'!B5</f>
        <v/>
      </c>
      <c r="C16" s="22" t="n">
        <v>5.482851556</v>
      </c>
      <c r="D16" s="23">
        <f>IF(ABS(B16-C16)&lt;=0.002741425778,"✓","✗")</f>
        <v/>
      </c>
      <c r="E16" s="24" t="inlineStr">
        <is>
          <t>'情境比較_稱量1_10'!B5</t>
        </is>
      </c>
    </row>
    <row r="18">
      <c r="A18" s="12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2026-09-17T18:08:37Z</dcterms:created>
  <dcterms:modified xmlns:dcterms="http://purl.org/dc/terms/" xmlns:xsi="http://www.w3.org/2001/XMLSchema-instance" xsi:type="dcterms:W3CDTF">2026-09-17T18:08:37Z</dcterms:modified>
</cp:coreProperties>
</file>