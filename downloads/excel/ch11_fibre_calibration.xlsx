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粗纖維協同試驗" sheetId="2" state="visible" r:id="rId2"/>
    <sheet xmlns:r="http://schemas.openxmlformats.org/officeDocument/2006/relationships" name="標準曲線反推" sheetId="3" state="visible" r:id="rId3"/>
    <sheet xmlns:r="http://schemas.openxmlformats.org/officeDocument/2006/relationships" name="對照R答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00000"/>
  </numFmts>
  <fonts count="12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Microsoft JhengHei"/>
      <b val="1"/>
      <color rgb="000F4C81"/>
      <sz val="11"/>
    </font>
    <font>
      <name val="Consolas"/>
      <color rgb="001565C0"/>
      <sz val="10"/>
    </font>
    <font>
      <name val="Microsoft JhengHei"/>
      <i val="1"/>
      <sz val="9"/>
    </font>
    <font>
      <name val="Microsoft JhengHei"/>
      <b val="1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3" borderId="1" pivotButton="0" quotePrefix="0" xfId="0"/>
    <xf numFmtId="165" fontId="6" fillId="3" borderId="1" pivotButton="0" quotePrefix="0" xfId="0"/>
    <xf numFmtId="0" fontId="7" fillId="0" borderId="0" applyAlignment="1" pivotButton="0" quotePrefix="0" xfId="0">
      <alignment vertical="top" wrapText="1"/>
    </xf>
    <xf numFmtId="166" fontId="6" fillId="0" borderId="1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top" wrapText="1"/>
    </xf>
    <xf numFmtId="2" fontId="6" fillId="3" borderId="1" pivotButton="0" quotePrefix="0" xfId="0"/>
    <xf numFmtId="166" fontId="6" fillId="3" borderId="1" pivotButton="0" quotePrefix="0" xfId="0"/>
    <xf numFmtId="164" fontId="6" fillId="0" borderId="1" pivotButton="0" quotePrefix="0" xfId="0"/>
    <xf numFmtId="0" fontId="9" fillId="0" borderId="0" pivotButton="0" quotePrefix="0" xfId="0"/>
    <xf numFmtId="0" fontId="10" fillId="0" borderId="1" pivotButton="0" quotePrefix="0" xfId="0"/>
    <xf numFmtId="166" fontId="10" fillId="0" borderId="1" pivotButton="0" quotePrefix="0" xfId="0"/>
    <xf numFmtId="164" fontId="10" fillId="0" borderId="1" pivotButton="0" quotePrefix="0" xfId="0"/>
    <xf numFmtId="2" fontId="6" fillId="0" borderId="1" pivotButton="0" quotePrefix="0" xfId="0"/>
    <xf numFmtId="1" fontId="6" fillId="0" borderId="1" pivotButton="0" quotePrefix="0" xfId="0"/>
    <xf numFmtId="167" fontId="6" fillId="0" borderId="1" pivotButton="0" quotePrefix="0" xfId="0"/>
    <xf numFmtId="1" fontId="6" fillId="3" borderId="1" pivotButton="0" quotePrefix="0" xfId="0"/>
    <xf numFmtId="166" fontId="10" fillId="4" borderId="1" pivotButton="0" quotePrefix="0" xfId="0"/>
    <xf numFmtId="167" fontId="10" fillId="4" borderId="1" pivotButton="0" quotePrefix="0" xfId="0"/>
    <xf numFmtId="0" fontId="11" fillId="0" borderId="0" applyAlignment="1" pivotButton="0" quotePrefix="0" xfId="0">
      <alignment vertical="top" wrapText="1"/>
    </xf>
    <xf numFmtId="166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Ch11 綜合案例：粗纖維（經驗方法）與標準曲線反推的不確定度</t>
        </is>
      </c>
    </row>
    <row r="2">
      <c r="A2" s="2" t="inlineStr">
        <is>
          <t>對應網頁：ch11.html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①飼料粗纖維：一個「結果由方法本身定義」的經驗方法，不確定度直接用協同試驗的再現性標準差 s_R 估（QUAM Example A6）。</t>
        </is>
      </c>
    </row>
    <row r="6">
      <c r="A6" s="4" t="inlineStr">
        <is>
          <t>②標準曲線反推濃度：把第4章的迴歸與信賴區間串成一條線——用 QUAM 附錄 E.4 的公式，把「殘差、斜率、校正點數、未知樣品重複數」分開拆算。</t>
        </is>
      </c>
    </row>
    <row r="7">
      <c r="A7" s="4" t="inlineStr">
        <is>
          <t>「粗纖維」工作表：3 個含量層級（2.5%／5%／10%）各自的不確定度預算，看相對不確定度怎麼隨含量遞減。</t>
        </is>
      </c>
    </row>
    <row r="8">
      <c r="A8" s="4" t="inlineStr">
        <is>
          <t>「標準曲線反推」工作表：SLOPE、INTERCEPT、STEYX、DEVSQ 逐項算出 var(x_pred) 公式的每一項。</t>
        </is>
      </c>
    </row>
    <row r="9">
      <c r="A9" s="3" t="inlineStr">
        <is>
          <t>怎麼用</t>
        </is>
      </c>
    </row>
    <row r="10">
      <c r="A10" s="4" t="inlineStr">
        <is>
          <t>1. 黃色是可以改的數據；改了以後所有公式自動重算。</t>
        </is>
      </c>
    </row>
    <row r="11">
      <c r="A11" s="4" t="inlineStr">
        <is>
          <t>2. 試著把「標準曲線反推」工作表裡未知樣品的重複測定次數 p 從 3 改成 1，看 u(x_pred) 變大多少。</t>
        </is>
      </c>
    </row>
    <row r="12">
      <c r="A12" s="4" t="inlineStr">
        <is>
          <t>3. 把粗纖維的含量層級 s_R 改一改，看相對不確定度 U/含量 怎麼隨含量升高而下降。</t>
        </is>
      </c>
    </row>
    <row r="13">
      <c r="A13" s="4" t="inlineStr">
        <is>
          <t>4.「對照R答案」工作表核對 Excel 與 R 是否一致。</t>
        </is>
      </c>
    </row>
    <row r="14">
      <c r="A14" s="3" t="inlineStr">
        <is>
          <t>兩個最重要的觀念</t>
        </is>
      </c>
    </row>
    <row r="15">
      <c r="A15" s="4" t="inlineStr">
        <is>
          <t>① 經驗（實證）方法沒有獨立於方法之外的「真值」，偏倚依定義為零、不修正；但不同實驗室做出來的散布仍要報不確定度，主體是協同試驗的 s_R。</t>
        </is>
      </c>
    </row>
    <row r="16">
      <c r="A16" s="4" t="inlineStr">
        <is>
          <t>② 標準曲線反推的不確定度在校正範圍「中段最小、兩端最寬」——這就是 (x_pred−x̄)²/S_xx 這一項的幾何意義。</t>
        </is>
      </c>
    </row>
    <row r="17">
      <c r="A17" s="3" t="inlineStr">
        <is>
          <t>本章沒有對應的資料分析工具箱功能</t>
        </is>
      </c>
    </row>
    <row r="18">
      <c r="A18" s="4" t="inlineStr">
        <is>
          <t>s_R 對含量的關係圖可以用「插入圖表」畫，但預算計算本身是逐項代公式，不是統計檢定；var(x_pred) 公式雖然來自迴歸，仍需拆開手算，工具箱的『迴歸』只給係數，不會算這個反推不確定度公式。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>
      <c r="A1" s="3" t="inlineStr">
        <is>
          <t>協同試驗數據（QUAM Example A6，5 個樣品）</t>
        </is>
      </c>
    </row>
    <row r="2">
      <c r="A2" s="5" t="inlineStr">
        <is>
          <t>樣品</t>
        </is>
      </c>
      <c r="B2" s="5" t="inlineStr">
        <is>
          <t>纖維含量 (% m/m)</t>
        </is>
      </c>
      <c r="C2" s="5" t="inlineStr">
        <is>
          <t>s_R 再現性SD</t>
        </is>
      </c>
      <c r="D2" s="5" t="inlineStr">
        <is>
          <t>s_r 重複性SD</t>
        </is>
      </c>
    </row>
    <row r="3">
      <c r="A3" s="6" t="inlineStr">
        <is>
          <t>A</t>
        </is>
      </c>
      <c r="B3" s="7" t="n">
        <v>2.3</v>
      </c>
      <c r="C3" s="8" t="n">
        <v>0.293</v>
      </c>
      <c r="D3" s="8" t="n">
        <v>0.198</v>
      </c>
    </row>
    <row r="4">
      <c r="A4" s="6" t="inlineStr">
        <is>
          <t>B</t>
        </is>
      </c>
      <c r="B4" s="7" t="n">
        <v>12.1</v>
      </c>
      <c r="C4" s="8" t="n">
        <v>0.5629999999999999</v>
      </c>
      <c r="D4" s="8" t="n">
        <v>0.358</v>
      </c>
    </row>
    <row r="5">
      <c r="A5" s="6" t="inlineStr">
        <is>
          <t>C</t>
        </is>
      </c>
      <c r="B5" s="7" t="n">
        <v>5.4</v>
      </c>
      <c r="C5" s="8" t="n">
        <v>0.39</v>
      </c>
      <c r="D5" s="8" t="n">
        <v>0.264</v>
      </c>
    </row>
    <row r="6">
      <c r="A6" s="6" t="inlineStr">
        <is>
          <t>D</t>
        </is>
      </c>
      <c r="B6" s="7" t="n">
        <v>3.4</v>
      </c>
      <c r="C6" s="8" t="n">
        <v>0.347</v>
      </c>
      <c r="D6" s="8" t="n">
        <v>0.232</v>
      </c>
    </row>
    <row r="7">
      <c r="A7" s="6" t="inlineStr">
        <is>
          <t>E</t>
        </is>
      </c>
      <c r="B7" s="7" t="n">
        <v>10.1</v>
      </c>
      <c r="C7" s="8" t="n">
        <v>0.575</v>
      </c>
      <c r="D7" s="8" t="n">
        <v>0.391</v>
      </c>
    </row>
    <row r="9">
      <c r="A9" s="9" t="inlineStr">
        <is>
          <t>觀察：s_R 隨含量上升（用 SLOPE/INTERCEPT 配一條參考線）</t>
        </is>
      </c>
    </row>
    <row r="10">
      <c r="A10" s="5" t="inlineStr">
        <is>
          <t>項目</t>
        </is>
      </c>
      <c r="B10" s="5" t="inlineStr">
        <is>
          <t>結果</t>
        </is>
      </c>
      <c r="C10" s="5" t="inlineStr">
        <is>
          <t>公式</t>
        </is>
      </c>
      <c r="D10" s="5" t="inlineStr">
        <is>
          <t>說明</t>
        </is>
      </c>
    </row>
    <row r="11">
      <c r="A11" s="6" t="inlineStr">
        <is>
          <t>斜率 (s_R ~ 含量)</t>
        </is>
      </c>
      <c r="B11" s="10">
        <f>SLOPE(C3:C7,B3:B7)</f>
        <v/>
      </c>
      <c r="C11" s="11" t="inlineStr">
        <is>
          <t>'=SLOPE(C3:C7,B3:B7)</t>
        </is>
      </c>
      <c r="D11" s="12" t="inlineStr">
        <is>
          <t>含量每增加1%，s_R 大約增加多少</t>
        </is>
      </c>
    </row>
    <row r="12">
      <c r="A12" s="6" t="inlineStr">
        <is>
          <t>截距</t>
        </is>
      </c>
      <c r="B12" s="10">
        <f>INTERCEPT(C3:C7,B3:B7)</f>
        <v/>
      </c>
      <c r="C12" s="11" t="inlineStr">
        <is>
          <t>'=INTERCEPT(C3:C7,B3:B7)</t>
        </is>
      </c>
    </row>
    <row r="14">
      <c r="A14" s="9" t="inlineStr">
        <is>
          <t>乾燥固定項：恆重失重 ±2 mg（矩形）對 1 g 樣品的貢獻</t>
        </is>
      </c>
    </row>
    <row r="15">
      <c r="A15" s="5" t="inlineStr">
        <is>
          <t>項目</t>
        </is>
      </c>
      <c r="B15" s="5" t="inlineStr">
        <is>
          <t>結果</t>
        </is>
      </c>
      <c r="C15" s="5" t="inlineStr">
        <is>
          <t>公式</t>
        </is>
      </c>
      <c r="D15" s="5" t="inlineStr">
        <is>
          <t>說明</t>
        </is>
      </c>
    </row>
    <row r="16">
      <c r="A16" s="6" t="inlineStr">
        <is>
          <t>恆重失重半寬 a (mg)</t>
        </is>
      </c>
      <c r="B16" s="13" t="n">
        <v>2</v>
      </c>
      <c r="D16" s="12" t="inlineStr">
        <is>
          <t>乾燥至恆重的稱重容許差</t>
        </is>
      </c>
    </row>
    <row r="17">
      <c r="A17" s="6" t="inlineStr">
        <is>
          <t>樣品重 (g)</t>
        </is>
      </c>
      <c r="B17" s="13" t="n">
        <v>1</v>
      </c>
      <c r="D17" s="12" t="inlineStr">
        <is>
          <t>約 1 g 樣品</t>
        </is>
      </c>
    </row>
    <row r="18">
      <c r="A18" s="6" t="inlineStr">
        <is>
          <t>u(乾燥) 計算值 (% m/m)</t>
        </is>
      </c>
      <c r="B18" s="10">
        <f>(B16/SQRT(3))/B17/10</f>
        <v/>
      </c>
      <c r="C18" s="11" t="inlineStr">
        <is>
          <t>'=(B16/SQRT(3))/B17/10</t>
        </is>
      </c>
      <c r="D18" s="12" t="inlineStr">
        <is>
          <t>矩形 a/√3，再換算成占 1 g 樣品的百分比；QUAM 原文採用值 0.115</t>
        </is>
      </c>
    </row>
    <row r="19">
      <c r="A19" s="6" t="inlineStr">
        <is>
          <t>u(乾燥)：採用值 (% m/m)</t>
        </is>
      </c>
      <c r="B19" s="14" t="n">
        <v>0.115</v>
      </c>
      <c r="D19" s="12" t="inlineStr">
        <is>
          <t>QUAM A6 原文採用值（低含量時不可忽略）</t>
        </is>
      </c>
    </row>
    <row r="21">
      <c r="A21" s="3" t="inlineStr">
        <is>
          <t>不確定度預算：三個含量層級（分含量層級報告）</t>
        </is>
      </c>
    </row>
    <row r="22">
      <c r="A22" s="5" t="inlineStr">
        <is>
          <t>來源</t>
        </is>
      </c>
      <c r="B22" s="5" t="inlineStr">
        <is>
          <t>數值</t>
        </is>
      </c>
      <c r="C22" s="5" t="inlineStr">
        <is>
          <t>分布</t>
        </is>
      </c>
      <c r="D22" s="5" t="inlineStr">
        <is>
          <t>除數</t>
        </is>
      </c>
      <c r="E22" s="5" t="inlineStr">
        <is>
          <t>標準不確定度 u</t>
        </is>
      </c>
      <c r="F22" s="5" t="inlineStr">
        <is>
          <t>相對 u(x)/x</t>
        </is>
      </c>
      <c r="G22" s="5" t="inlineStr">
        <is>
          <t>u²占比 (%)</t>
        </is>
      </c>
    </row>
    <row r="23">
      <c r="A23" s="6" t="inlineStr">
        <is>
          <t>s_R（含量2.5%）</t>
        </is>
      </c>
      <c r="B23" s="8" t="n">
        <v>0.292</v>
      </c>
      <c r="C23" s="6" t="inlineStr">
        <is>
          <t>協同試驗再現性標準差</t>
        </is>
      </c>
      <c r="D23" s="6" t="inlineStr">
        <is>
          <t>1</t>
        </is>
      </c>
      <c r="E23" s="10">
        <f>B23</f>
        <v/>
      </c>
      <c r="F23" s="6" t="inlineStr">
        <is>
          <t>—</t>
        </is>
      </c>
      <c r="G23" s="15">
        <f>E23^2/E25^2*100</f>
        <v/>
      </c>
      <c r="I23" s="16" t="inlineStr">
        <is>
          <t>纖維含量水平 (%)：</t>
        </is>
      </c>
      <c r="J23" s="13" t="n">
        <v>2.5</v>
      </c>
    </row>
    <row r="24">
      <c r="A24" s="6" t="inlineStr">
        <is>
          <t>乾燥固定項</t>
        </is>
      </c>
      <c r="B24" s="10">
        <f>B19</f>
        <v/>
      </c>
      <c r="C24" s="6" t="inlineStr">
        <is>
          <t>矩形（見上方換算）</t>
        </is>
      </c>
      <c r="D24" s="6" t="inlineStr">
        <is>
          <t>—</t>
        </is>
      </c>
      <c r="E24" s="10">
        <f>B19</f>
        <v/>
      </c>
      <c r="F24" s="6" t="inlineStr">
        <is>
          <t>—</t>
        </is>
      </c>
      <c r="G24" s="15">
        <f>E24^2/E25^2*100</f>
        <v/>
      </c>
    </row>
    <row r="25">
      <c r="A25" s="17" t="inlineStr">
        <is>
          <t>合成 u_c</t>
        </is>
      </c>
      <c r="C25" s="6" t="inlineStr">
        <is>
          <t>U=2×u_c (k=2)</t>
        </is>
      </c>
      <c r="D25" s="6" t="inlineStr">
        <is>
          <t>相對 U%→</t>
        </is>
      </c>
      <c r="E25" s="18">
        <f>SQRT(SUMSQ(E23,E24))</f>
        <v/>
      </c>
      <c r="F25" s="18">
        <f>2*E25</f>
        <v/>
      </c>
      <c r="G25" s="19">
        <f>F25/J23*100</f>
        <v/>
      </c>
    </row>
    <row r="26">
      <c r="A26" s="5" t="inlineStr">
        <is>
          <t>來源</t>
        </is>
      </c>
      <c r="B26" s="5" t="inlineStr">
        <is>
          <t>數值</t>
        </is>
      </c>
      <c r="C26" s="5" t="inlineStr">
        <is>
          <t>分布</t>
        </is>
      </c>
      <c r="D26" s="5" t="inlineStr">
        <is>
          <t>除數</t>
        </is>
      </c>
      <c r="E26" s="5" t="inlineStr">
        <is>
          <t>標準不確定度 u</t>
        </is>
      </c>
      <c r="F26" s="5" t="inlineStr">
        <is>
          <t>相對 u(x)/x</t>
        </is>
      </c>
      <c r="G26" s="5" t="inlineStr">
        <is>
          <t>u²占比 (%)</t>
        </is>
      </c>
    </row>
    <row r="27">
      <c r="A27" s="6" t="inlineStr">
        <is>
          <t>s_R（含量5%）</t>
        </is>
      </c>
      <c r="B27" s="8" t="n">
        <v>0.4</v>
      </c>
      <c r="C27" s="6" t="inlineStr">
        <is>
          <t>協同試驗再現性標準差</t>
        </is>
      </c>
      <c r="D27" s="6" t="inlineStr">
        <is>
          <t>1</t>
        </is>
      </c>
      <c r="E27" s="10">
        <f>B27</f>
        <v/>
      </c>
      <c r="F27" s="6" t="inlineStr">
        <is>
          <t>—</t>
        </is>
      </c>
      <c r="G27" s="15">
        <f>E27^2/E29^2*100</f>
        <v/>
      </c>
      <c r="I27" s="16" t="inlineStr">
        <is>
          <t>纖維含量水平 (%)：</t>
        </is>
      </c>
      <c r="J27" s="13" t="n">
        <v>5</v>
      </c>
    </row>
    <row r="28">
      <c r="A28" s="6" t="inlineStr">
        <is>
          <t>乾燥固定項</t>
        </is>
      </c>
      <c r="B28" s="10">
        <f>B19</f>
        <v/>
      </c>
      <c r="C28" s="6" t="inlineStr">
        <is>
          <t>矩形（見上方換算）</t>
        </is>
      </c>
      <c r="D28" s="6" t="inlineStr">
        <is>
          <t>—</t>
        </is>
      </c>
      <c r="E28" s="10">
        <f>B19</f>
        <v/>
      </c>
      <c r="F28" s="6" t="inlineStr">
        <is>
          <t>—</t>
        </is>
      </c>
      <c r="G28" s="15">
        <f>E28^2/E29^2*100</f>
        <v/>
      </c>
    </row>
    <row r="29">
      <c r="A29" s="17" t="inlineStr">
        <is>
          <t>合成 u_c</t>
        </is>
      </c>
      <c r="C29" s="6" t="inlineStr">
        <is>
          <t>U=2×u_c (k=2)</t>
        </is>
      </c>
      <c r="D29" s="6" t="inlineStr">
        <is>
          <t>相對 U%→</t>
        </is>
      </c>
      <c r="E29" s="18">
        <f>SQRT(SUMSQ(E27,E28))</f>
        <v/>
      </c>
      <c r="F29" s="18">
        <f>2*E29</f>
        <v/>
      </c>
      <c r="G29" s="19">
        <f>F29/J27*100</f>
        <v/>
      </c>
    </row>
    <row r="30">
      <c r="A30" s="5" t="inlineStr">
        <is>
          <t>來源</t>
        </is>
      </c>
      <c r="B30" s="5" t="inlineStr">
        <is>
          <t>數值</t>
        </is>
      </c>
      <c r="C30" s="5" t="inlineStr">
        <is>
          <t>分布</t>
        </is>
      </c>
      <c r="D30" s="5" t="inlineStr">
        <is>
          <t>除數</t>
        </is>
      </c>
      <c r="E30" s="5" t="inlineStr">
        <is>
          <t>標準不確定度 u</t>
        </is>
      </c>
      <c r="F30" s="5" t="inlineStr">
        <is>
          <t>相對 u(x)/x</t>
        </is>
      </c>
      <c r="G30" s="5" t="inlineStr">
        <is>
          <t>u²占比 (%)</t>
        </is>
      </c>
    </row>
    <row r="31">
      <c r="A31" s="6" t="inlineStr">
        <is>
          <t>s_R（含量10%）</t>
        </is>
      </c>
      <c r="B31" s="8" t="n">
        <v>0.6</v>
      </c>
      <c r="C31" s="6" t="inlineStr">
        <is>
          <t>協同試驗再現性標準差</t>
        </is>
      </c>
      <c r="D31" s="6" t="inlineStr">
        <is>
          <t>1</t>
        </is>
      </c>
      <c r="E31" s="10">
        <f>B31</f>
        <v/>
      </c>
      <c r="F31" s="6" t="inlineStr">
        <is>
          <t>—</t>
        </is>
      </c>
      <c r="G31" s="15">
        <f>E31^2/E33^2*100</f>
        <v/>
      </c>
      <c r="I31" s="16" t="inlineStr">
        <is>
          <t>纖維含量水平 (%)：</t>
        </is>
      </c>
      <c r="J31" s="13" t="n">
        <v>10</v>
      </c>
    </row>
    <row r="32">
      <c r="A32" s="6" t="inlineStr">
        <is>
          <t>乾燥固定項</t>
        </is>
      </c>
      <c r="B32" s="10">
        <f>B19</f>
        <v/>
      </c>
      <c r="C32" s="6" t="inlineStr">
        <is>
          <t>矩形（見上方換算）</t>
        </is>
      </c>
      <c r="D32" s="6" t="inlineStr">
        <is>
          <t>—</t>
        </is>
      </c>
      <c r="E32" s="10">
        <f>B19</f>
        <v/>
      </c>
      <c r="F32" s="6" t="inlineStr">
        <is>
          <t>—</t>
        </is>
      </c>
      <c r="G32" s="15">
        <f>E32^2/E33^2*100</f>
        <v/>
      </c>
    </row>
    <row r="33">
      <c r="A33" s="17" t="inlineStr">
        <is>
          <t>合成 u_c</t>
        </is>
      </c>
      <c r="C33" s="6" t="inlineStr">
        <is>
          <t>U=2×u_c (k=2)</t>
        </is>
      </c>
      <c r="D33" s="6" t="inlineStr">
        <is>
          <t>相對 U%→</t>
        </is>
      </c>
      <c r="E33" s="18">
        <f>SQRT(SUMSQ(E31,E32))</f>
        <v/>
      </c>
      <c r="F33" s="18">
        <f>2*E33</f>
        <v/>
      </c>
      <c r="G33" s="19">
        <f>F33/J31*100</f>
        <v/>
      </c>
    </row>
    <row r="35">
      <c r="A35" s="9" t="inlineStr">
        <is>
          <t>三個層級比較（相對不確定度隨含量遞減）</t>
        </is>
      </c>
    </row>
    <row r="36">
      <c r="A36" s="5" t="inlineStr">
        <is>
          <t>含量 (%)</t>
        </is>
      </c>
      <c r="B36" s="5" t="inlineStr">
        <is>
          <t>u_c</t>
        </is>
      </c>
      <c r="C36" s="5" t="inlineStr">
        <is>
          <t>U (k=2)</t>
        </is>
      </c>
      <c r="D36" s="5" t="inlineStr">
        <is>
          <t>相對 U (%)</t>
        </is>
      </c>
    </row>
    <row r="37">
      <c r="A37" s="20" t="n">
        <v>2.5</v>
      </c>
      <c r="B37" s="10">
        <f>E25</f>
        <v/>
      </c>
      <c r="C37" s="10">
        <f>F25</f>
        <v/>
      </c>
      <c r="D37" s="15">
        <f>F25/2.5*100</f>
        <v/>
      </c>
    </row>
    <row r="38">
      <c r="A38" s="20" t="n">
        <v>5</v>
      </c>
      <c r="B38" s="10">
        <f>E29</f>
        <v/>
      </c>
      <c r="C38" s="10">
        <f>F29</f>
        <v/>
      </c>
      <c r="D38" s="15">
        <f>F29/5*100</f>
        <v/>
      </c>
    </row>
    <row r="39">
      <c r="A39" s="20" t="n">
        <v>10</v>
      </c>
      <c r="B39" s="10">
        <f>E33</f>
        <v/>
      </c>
      <c r="C39" s="10">
        <f>F33</f>
        <v/>
      </c>
      <c r="D39" s="15">
        <f>F33/10*100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  <col width="60" customWidth="1" min="4" max="4"/>
  </cols>
  <sheetData>
    <row r="1">
      <c r="A1" s="3" t="inlineStr">
        <is>
          <t>校正數據（同第4章 Group A 鈉標準曲線）</t>
        </is>
      </c>
    </row>
    <row r="2">
      <c r="A2" s="5" t="inlineStr">
        <is>
          <t>濃度 x (μg/mL)</t>
        </is>
      </c>
      <c r="B2" s="5" t="inlineStr">
        <is>
          <t>發射訊號 y</t>
        </is>
      </c>
    </row>
    <row r="3">
      <c r="A3" s="7" t="n">
        <v>1</v>
      </c>
      <c r="B3" s="8" t="n">
        <v>0.05</v>
      </c>
    </row>
    <row r="4">
      <c r="A4" s="7" t="n">
        <v>3</v>
      </c>
      <c r="B4" s="8" t="n">
        <v>0.14</v>
      </c>
    </row>
    <row r="5">
      <c r="A5" s="7" t="n">
        <v>5</v>
      </c>
      <c r="B5" s="8" t="n">
        <v>0.242</v>
      </c>
    </row>
    <row r="6">
      <c r="A6" s="7" t="n">
        <v>10</v>
      </c>
      <c r="B6" s="8" t="n">
        <v>0.521</v>
      </c>
    </row>
    <row r="7">
      <c r="A7" s="7" t="n">
        <v>20</v>
      </c>
      <c r="B7" s="8" t="n">
        <v>0.998</v>
      </c>
    </row>
    <row r="9">
      <c r="A9" s="5" t="inlineStr">
        <is>
          <t>項目</t>
        </is>
      </c>
      <c r="B9" s="5" t="inlineStr">
        <is>
          <t>結果</t>
        </is>
      </c>
      <c r="C9" s="5" t="inlineStr">
        <is>
          <t>公式</t>
        </is>
      </c>
      <c r="D9" s="5" t="inlineStr">
        <is>
          <t>說明</t>
        </is>
      </c>
    </row>
    <row r="10">
      <c r="A10" s="6" t="inlineStr">
        <is>
          <t>n：校正點數</t>
        </is>
      </c>
      <c r="B10" s="21">
        <f>COUNT(A3:A7)</f>
        <v/>
      </c>
      <c r="C10" s="11" t="inlineStr">
        <is>
          <t>'=COUNT(A3:A7)</t>
        </is>
      </c>
      <c r="D10" s="12" t="inlineStr">
        <is>
          <t>有幾個標準品濃度</t>
        </is>
      </c>
    </row>
    <row r="11">
      <c r="A11" s="6" t="inlineStr">
        <is>
          <t>b1：斜率</t>
        </is>
      </c>
      <c r="B11" s="22">
        <f>SLOPE(B3:B7,A3:A7)</f>
        <v/>
      </c>
      <c r="C11" s="11" t="inlineStr">
        <is>
          <t>'=SLOPE(B3:B7,A3:A7)</t>
        </is>
      </c>
      <c r="D11" s="12" t="inlineStr">
        <is>
          <t>每單位濃度訊號增加多少</t>
        </is>
      </c>
    </row>
    <row r="12">
      <c r="A12" s="6" t="inlineStr">
        <is>
          <t>b0：截距</t>
        </is>
      </c>
      <c r="B12" s="22">
        <f>INTERCEPT(B3:B7,A3:A7)</f>
        <v/>
      </c>
      <c r="C12" s="11" t="inlineStr">
        <is>
          <t>'=INTERCEPT(B3:B7,A3:A7)</t>
        </is>
      </c>
    </row>
    <row r="13">
      <c r="A13" s="6" t="inlineStr">
        <is>
          <t>S：殘差標準差</t>
        </is>
      </c>
      <c r="B13" s="22">
        <f>STEYX(B3:B7,A3:A7)</f>
        <v/>
      </c>
      <c r="C13" s="11" t="inlineStr">
        <is>
          <t>'=STEYX(B3:B7,A3:A7)</t>
        </is>
      </c>
      <c r="D13" s="12" t="inlineStr">
        <is>
          <t>STEYX 用自由度 n−2，是公式要的 S</t>
        </is>
      </c>
    </row>
    <row r="14">
      <c r="A14" s="6" t="inlineStr">
        <is>
          <t>x̄：濃度平均</t>
        </is>
      </c>
      <c r="B14" s="10">
        <f>AVERAGE(A3:A7)</f>
        <v/>
      </c>
      <c r="C14" s="11" t="inlineStr">
        <is>
          <t>'=AVERAGE(A3:A7)</t>
        </is>
      </c>
    </row>
    <row r="15">
      <c r="A15" s="6" t="inlineStr">
        <is>
          <t>S_xx：Σ(xi−x̄)²</t>
        </is>
      </c>
      <c r="B15" s="10">
        <f>DEVSQ(A3:A7)</f>
        <v/>
      </c>
      <c r="C15" s="11" t="inlineStr">
        <is>
          <t>'=DEVSQ(A3:A7)</t>
        </is>
      </c>
      <c r="D15" s="12" t="inlineStr">
        <is>
          <t>DEVSQ 直接算離均差平方和</t>
        </is>
      </c>
    </row>
    <row r="16">
      <c r="A16" s="6" t="inlineStr">
        <is>
          <t>p：未知樣品重複測定次數</t>
        </is>
      </c>
      <c r="B16" s="23" t="n">
        <v>3</v>
      </c>
      <c r="D16" s="12" t="inlineStr">
        <is>
          <t>未知樣品測 3 次取平均</t>
        </is>
      </c>
    </row>
    <row r="17">
      <c r="A17" s="6" t="inlineStr">
        <is>
          <t>未知樣品 3 次平均訊號 y_obs</t>
        </is>
      </c>
      <c r="B17" s="8" t="n">
        <v>0.555</v>
      </c>
    </row>
    <row r="18">
      <c r="A18" s="17" t="inlineStr">
        <is>
          <t>x_pred：反推濃度</t>
        </is>
      </c>
      <c r="B18" s="24">
        <f>(B17-B12)/B11</f>
        <v/>
      </c>
      <c r="C18" s="11" t="inlineStr">
        <is>
          <t>'=(B17-B12)/B11</t>
        </is>
      </c>
      <c r="D18" s="12" t="inlineStr">
        <is>
          <t>(y_obs − b0)/b1</t>
        </is>
      </c>
    </row>
    <row r="20">
      <c r="A20" s="3" t="inlineStr">
        <is>
          <t>var(x_pred) 公式逐項拆開（QUAM E.4）</t>
        </is>
      </c>
    </row>
    <row r="21">
      <c r="A21" s="5" t="inlineStr">
        <is>
          <t>項目</t>
        </is>
      </c>
      <c r="B21" s="5" t="inlineStr">
        <is>
          <t>結果</t>
        </is>
      </c>
      <c r="C21" s="5" t="inlineStr">
        <is>
          <t>公式</t>
        </is>
      </c>
      <c r="D21" s="5" t="inlineStr">
        <is>
          <t>說明</t>
        </is>
      </c>
    </row>
    <row r="22">
      <c r="A22" s="6" t="inlineStr">
        <is>
          <t>1/p</t>
        </is>
      </c>
      <c r="B22" s="10">
        <f>1/B16</f>
        <v/>
      </c>
      <c r="C22" s="11" t="inlineStr">
        <is>
          <t>'=1/B16</t>
        </is>
      </c>
      <c r="D22" s="12" t="inlineStr">
        <is>
          <t>未知樣品重複測定次數項</t>
        </is>
      </c>
    </row>
    <row r="23">
      <c r="A23" s="6" t="inlineStr">
        <is>
          <t>1/n</t>
        </is>
      </c>
      <c r="B23" s="10">
        <f>1/B10</f>
        <v/>
      </c>
      <c r="C23" s="11" t="inlineStr">
        <is>
          <t>'=1/B10</t>
        </is>
      </c>
      <c r="D23" s="12" t="inlineStr">
        <is>
          <t>校正點數項</t>
        </is>
      </c>
    </row>
    <row r="24">
      <c r="A24" s="6" t="inlineStr">
        <is>
          <t>(x_pred−x̄)²/S_xx</t>
        </is>
      </c>
      <c r="B24" s="10">
        <f>(B18-B14)^2/B15</f>
        <v/>
      </c>
      <c r="C24" s="11" t="inlineStr">
        <is>
          <t>'=(B18-B14)^2/B15</t>
        </is>
      </c>
      <c r="D24" s="12" t="inlineStr">
        <is>
          <t>離校正中心越遠這一項越大</t>
        </is>
      </c>
    </row>
    <row r="25">
      <c r="A25" s="6" t="inlineStr">
        <is>
          <t>三項合計</t>
        </is>
      </c>
      <c r="B25" s="10">
        <f>B22+B23+B24</f>
        <v/>
      </c>
      <c r="C25" s="11" t="inlineStr">
        <is>
          <t>'=B22+B23+B24</t>
        </is>
      </c>
    </row>
    <row r="26">
      <c r="A26" s="6" t="inlineStr">
        <is>
          <t>S²/b1²</t>
        </is>
      </c>
      <c r="B26" s="22">
        <f>B13^2/B11^2</f>
        <v/>
      </c>
      <c r="C26" s="11" t="inlineStr">
        <is>
          <t>'=B13^2/B11^2</t>
        </is>
      </c>
      <c r="D26" s="12" t="inlineStr">
        <is>
          <t>殘差變異除以斜率平方</t>
        </is>
      </c>
    </row>
    <row r="27">
      <c r="A27" s="17" t="inlineStr">
        <is>
          <t>var(x_pred)</t>
        </is>
      </c>
      <c r="B27" s="25">
        <f>B26*B25</f>
        <v/>
      </c>
      <c r="C27" s="11" t="inlineStr">
        <is>
          <t>'=B26*B25</t>
        </is>
      </c>
      <c r="D27" s="12" t="inlineStr">
        <is>
          <t>(S²/b1²) × 三項合計</t>
        </is>
      </c>
    </row>
    <row r="28">
      <c r="A28" s="17" t="inlineStr">
        <is>
          <t>u(x_pred)</t>
        </is>
      </c>
      <c r="B28" s="24">
        <f>SQRT(B27)</f>
        <v/>
      </c>
      <c r="C28" s="11" t="inlineStr">
        <is>
          <t>'=SQRT(B27)</t>
        </is>
      </c>
    </row>
    <row r="29">
      <c r="A29" s="17" t="inlineStr">
        <is>
          <t>U (k=2)</t>
        </is>
      </c>
      <c r="B29" s="24">
        <f>2*B28</f>
        <v/>
      </c>
      <c r="C29" s="11" t="inlineStr">
        <is>
          <t>'=2*B28</t>
        </is>
      </c>
    </row>
    <row r="30">
      <c r="A30" s="26" t="inlineStr">
        <is>
          <t>報告：Na = (11.1 ± 0.4) μg/mL（k=2）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6" t="inlineStr">
        <is>
          <t>粗纖維 2.5% u_c</t>
        </is>
      </c>
      <c r="B2" s="27">
        <f>'粗纖維協同試驗'!E25</f>
        <v/>
      </c>
      <c r="C2" s="27" t="n">
        <v>0.3138295716</v>
      </c>
      <c r="D2" s="28">
        <f>IF(ABS(B2-C2)&lt;=0.00015691478580000002,"✓","✗")</f>
        <v/>
      </c>
      <c r="E2" s="29" t="inlineStr">
        <is>
          <t>'粗纖維協同試驗'!E25</t>
        </is>
      </c>
    </row>
    <row r="3">
      <c r="A3" s="6" t="inlineStr">
        <is>
          <t>粗纖維 2.5% U</t>
        </is>
      </c>
      <c r="B3" s="27">
        <f>'粗纖維協同試驗'!F25</f>
        <v/>
      </c>
      <c r="C3" s="27" t="n">
        <v>0.6276591432</v>
      </c>
      <c r="D3" s="28">
        <f>IF(ABS(B3-C3)&lt;=0.00031382957160000003,"✓","✗")</f>
        <v/>
      </c>
      <c r="E3" s="29" t="inlineStr">
        <is>
          <t>'粗纖維協同試驗'!F25</t>
        </is>
      </c>
    </row>
    <row r="4">
      <c r="A4" s="6" t="inlineStr">
        <is>
          <t>粗纖維 5% u_c</t>
        </is>
      </c>
      <c r="B4" s="27">
        <f>'粗纖維協同試驗'!E29</f>
        <v/>
      </c>
      <c r="C4" s="27" t="n">
        <v>0.4162030754</v>
      </c>
      <c r="D4" s="28">
        <f>IF(ABS(B4-C4)&lt;=0.0002081015377,"✓","✗")</f>
        <v/>
      </c>
      <c r="E4" s="29" t="inlineStr">
        <is>
          <t>'粗纖維協同試驗'!E29</t>
        </is>
      </c>
    </row>
    <row r="5">
      <c r="A5" s="6" t="inlineStr">
        <is>
          <t>粗纖維 10% u_c</t>
        </is>
      </c>
      <c r="B5" s="27">
        <f>'粗纖維協同試驗'!E33</f>
        <v/>
      </c>
      <c r="C5" s="27" t="n">
        <v>0.6109214352</v>
      </c>
      <c r="D5" s="28">
        <f>IF(ABS(B5-C5)&lt;=0.0003054607176,"✓","✗")</f>
        <v/>
      </c>
      <c r="E5" s="29" t="inlineStr">
        <is>
          <t>'粗纖維協同試驗'!E33</t>
        </is>
      </c>
    </row>
    <row r="6">
      <c r="A6" s="6" t="inlineStr">
        <is>
          <t>粗纖維 10% 相對U%</t>
        </is>
      </c>
      <c r="B6" s="27">
        <f>'粗纖維協同試驗'!G33</f>
        <v/>
      </c>
      <c r="C6" s="27" t="n">
        <v>12.2184287</v>
      </c>
      <c r="D6" s="28">
        <f>IF(ABS(B6-C6)&lt;=0.00610921435,"✓","✗")</f>
        <v/>
      </c>
      <c r="E6" s="29" t="inlineStr">
        <is>
          <t>'粗纖維協同試驗'!G33</t>
        </is>
      </c>
    </row>
    <row r="7">
      <c r="A7" s="6" t="inlineStr">
        <is>
          <t>標準曲線 斜率 b1</t>
        </is>
      </c>
      <c r="B7" s="27">
        <f>'標準曲線反推'!B11</f>
        <v/>
      </c>
      <c r="C7" s="27" t="n">
        <v>0.05039948007</v>
      </c>
      <c r="D7" s="28">
        <f>IF(ABS(B7-C7)&lt;=2.5199740035000003e-05,"✓","✗")</f>
        <v/>
      </c>
      <c r="E7" s="29" t="inlineStr">
        <is>
          <t>'標準曲線反推'!B11</t>
        </is>
      </c>
    </row>
    <row r="8">
      <c r="A8" s="6" t="inlineStr">
        <is>
          <t>標準曲線 殘差標準差 S</t>
        </is>
      </c>
      <c r="B8" s="27">
        <f>'標準曲線反推'!B13</f>
        <v/>
      </c>
      <c r="C8" s="27" t="n">
        <v>0.01380782312</v>
      </c>
      <c r="D8" s="28">
        <f>IF(ABS(B8-C8)&lt;=6.90391156e-06,"✓","✗")</f>
        <v/>
      </c>
      <c r="E8" s="29" t="inlineStr">
        <is>
          <t>'標準曲線反推'!B13</t>
        </is>
      </c>
    </row>
    <row r="9">
      <c r="A9" s="6" t="inlineStr">
        <is>
          <t>標準曲線 S_xx</t>
        </is>
      </c>
      <c r="B9" s="27">
        <f>'標準曲線反推'!B15</f>
        <v/>
      </c>
      <c r="C9" s="27" t="n">
        <v>230.8</v>
      </c>
      <c r="D9" s="28">
        <f>IF(ABS(B9-C9)&lt;=0.1154,"✓","✗")</f>
        <v/>
      </c>
      <c r="E9" s="29" t="inlineStr">
        <is>
          <t>'標準曲線反推'!B15</t>
        </is>
      </c>
    </row>
    <row r="10">
      <c r="A10" s="6" t="inlineStr">
        <is>
          <t>反推濃度 x_pred</t>
        </is>
      </c>
      <c r="B10" s="27">
        <f>'標準曲線反推'!B18</f>
        <v/>
      </c>
      <c r="C10" s="27" t="n">
        <v>11.069875</v>
      </c>
      <c r="D10" s="28">
        <f>IF(ABS(B10-C10)&lt;=0.0055349375,"✓","✗")</f>
        <v/>
      </c>
      <c r="E10" s="29" t="inlineStr">
        <is>
          <t>'標準曲線反推'!B18</t>
        </is>
      </c>
    </row>
    <row r="11">
      <c r="A11" s="6" t="inlineStr">
        <is>
          <t>反推濃度 u(x_pred)</t>
        </is>
      </c>
      <c r="B11" s="27">
        <f>'標準曲線反推'!B28</f>
        <v/>
      </c>
      <c r="C11" s="27" t="n">
        <v>0.208586234</v>
      </c>
      <c r="D11" s="28">
        <f>IF(ABS(B11-C11)&lt;=0.000104293117,"✓","✗")</f>
        <v/>
      </c>
      <c r="E11" s="29" t="inlineStr">
        <is>
          <t>'標準曲線反推'!B28</t>
        </is>
      </c>
    </row>
    <row r="12">
      <c r="A12" s="6" t="inlineStr">
        <is>
          <t>反推濃度 U (k=2)</t>
        </is>
      </c>
      <c r="B12" s="27">
        <f>'標準曲線反推'!B29</f>
        <v/>
      </c>
      <c r="C12" s="27" t="n">
        <v>0.4171724679</v>
      </c>
      <c r="D12" s="28">
        <f>IF(ABS(B12-C12)&lt;=0.00020858623395000002,"✓","✗")</f>
        <v/>
      </c>
      <c r="E12" s="29" t="inlineStr">
        <is>
          <t>'標準曲線反推'!B29</t>
        </is>
      </c>
    </row>
    <row r="14">
      <c r="A14" s="12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