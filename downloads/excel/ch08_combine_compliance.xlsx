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Rule1_加減" sheetId="2" state="visible" r:id="rId2"/>
    <sheet xmlns:r="http://schemas.openxmlformats.org/officeDocument/2006/relationships" name="Rule2_乘除" sheetId="3" state="visible" r:id="rId3"/>
    <sheet xmlns:r="http://schemas.openxmlformats.org/officeDocument/2006/relationships" name="擴展不確定度_t值" sheetId="4" state="visible" r:id="rId4"/>
    <sheet xmlns:r="http://schemas.openxmlformats.org/officeDocument/2006/relationships" name="符合性判定" sheetId="5" state="visible" r:id="rId5"/>
    <sheet xmlns:r="http://schemas.openxmlformats.org/officeDocument/2006/relationships" name="對照R答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0"/>
    <numFmt numFmtId="166" formatCode="0.000"/>
    <numFmt numFmtId="167" formatCode="0.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Consolas"/>
      <color rgb="001565C0"/>
      <sz val="10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2" fontId="6" fillId="3" borderId="1" pivotButton="0" quotePrefix="0" xfId="0"/>
    <xf numFmtId="0" fontId="2" fillId="0" borderId="0" applyAlignment="1" pivotButton="0" quotePrefix="0" xfId="0">
      <alignment vertical="top" wrapText="1"/>
    </xf>
    <xf numFmtId="0" fontId="7" fillId="0" borderId="1" pivotButton="0" quotePrefix="0" xfId="0"/>
    <xf numFmtId="164" fontId="7" fillId="4" borderId="1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5" fontId="6" fillId="0" borderId="1" pivotButton="0" quotePrefix="0" xfId="0"/>
    <xf numFmtId="164" fontId="6" fillId="3" borderId="1" pivotButton="0" quotePrefix="0" xfId="0"/>
    <xf numFmtId="1" fontId="6" fillId="3" borderId="1" pivotButton="0" quotePrefix="0" xfId="0"/>
    <xf numFmtId="1" fontId="6" fillId="0" borderId="1" pivotButton="0" quotePrefix="0" xfId="0"/>
    <xf numFmtId="166" fontId="6" fillId="3" borderId="1" pivotButton="0" quotePrefix="0" xfId="0"/>
    <xf numFmtId="167" fontId="6" fillId="3" borderId="1" pivotButton="0" quotePrefix="0" xfId="0"/>
    <xf numFmtId="0" fontId="2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Ch8 合成不確定度、擴展不確定度 U 與符合性判定</t>
        </is>
      </c>
    </row>
    <row r="2">
      <c r="A2" s="2" t="inlineStr">
        <is>
          <t>對應網頁：ch08.html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「Rule1_加減」與「Rule2_乘除」分別示範 QUAM §8.2.8 的兩個例題：加減模型直接用絕對 u 的平方和開根號；乘除模型改用相對 u（u/x）合成，最後再乘回 y。</t>
        </is>
      </c>
    </row>
    <row r="6">
      <c r="A6" s="4" t="inlineStr">
        <is>
          <t>「擴展不確定度_t值」示範 U = k·u_c：一般情況 k=2（約 95%），但當合成不確定度被自由度很小的Type A 項主導時，要改用該項自由度查雙尾 t 值。</t>
        </is>
      </c>
    </row>
    <row r="7">
      <c r="A7" s="4" t="inlineStr">
        <is>
          <t>「符合性判定」用 IF 函數實作 QUAM Figure 2 的保守決策規則，輸出「符合／不符合／無法判定」，並附上果汁中鉛的完整小案例。</t>
        </is>
      </c>
    </row>
    <row r="8">
      <c r="A8" s="3" t="inlineStr">
        <is>
          <t>怎麼用</t>
        </is>
      </c>
    </row>
    <row r="9">
      <c r="A9" s="4" t="inlineStr">
        <is>
          <t>1. 每張表黃色都是可以改的輸入（原始測值與各自的標準不確定度 u）。</t>
        </is>
      </c>
    </row>
    <row r="10">
      <c r="A10" s="4" t="inlineStr">
        <is>
          <t>2.「符合性判定」的測值、U、限值都是黃色——試著把 (ii)(iii) 兩個灰色地帶案例的 U 改小，看什麼時候會從「無法判定」變成明確的「符合」或「不符合」。</t>
        </is>
      </c>
    </row>
    <row r="11">
      <c r="A11" s="4" t="inlineStr">
        <is>
          <t>3.「對照R答案」核對所有關鍵結果。</t>
        </is>
      </c>
    </row>
    <row r="12">
      <c r="A12" s="3" t="inlineStr">
        <is>
          <t>這章最重要的兩個觀念</t>
        </is>
      </c>
    </row>
    <row r="13">
      <c r="A13" s="4" t="inlineStr">
        <is>
          <t>Rule 1（加減）用絕對 u 的平方和開根號；Rule 2（乘除）一定要先換成相對 u（u/x）合成，算完再乘回 y——絕對值與相對值不能混用。</t>
        </is>
      </c>
    </row>
    <row r="14">
      <c r="A14" s="4" t="inlineStr">
        <is>
          <t>符合性判定要用約 95% 的擴展不確定度 U，不是只有約 68% 的 u_c；「結果 ± U 的整段區間」與限值的相對位置才是判準，不是只看測值本身有沒有超標——這就是「灰色地帶」存在的原因，ISO/IEC 17025:2017 要求事先與客戶約定決策規則。</t>
        </is>
      </c>
    </row>
    <row r="15">
      <c r="A15" s="3" t="inlineStr">
        <is>
          <t>Excel 資料分析工具箱：這裡沒有直接對應的工具</t>
        </is>
      </c>
    </row>
    <row r="16">
      <c r="A16" s="4" t="inlineStr">
        <is>
          <t>合成不確定度、U=k·uc、符合性判定都是「按固定公式填表」，Analysis ToolPak 沒有對應功能；本章的主角是 SUMSQ（平方和）與 IF（決策規則），兩者都是一般函數，不需要啟用增益集。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  <col width="54" customWidth="1" min="4" max="4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白話說明</t>
        </is>
      </c>
    </row>
    <row r="2">
      <c r="A2" s="6" t="inlineStr">
        <is>
          <t>p</t>
        </is>
      </c>
      <c r="B2" s="7" t="n">
        <v>5.02</v>
      </c>
      <c r="D2" s="8" t="inlineStr">
        <is>
          <t>QUAM §8.2.8 例題1：y=p−q+r</t>
        </is>
      </c>
    </row>
    <row r="3">
      <c r="A3" s="6" t="inlineStr">
        <is>
          <t>q</t>
        </is>
      </c>
      <c r="B3" s="7" t="n">
        <v>6.45</v>
      </c>
    </row>
    <row r="4">
      <c r="A4" s="6" t="inlineStr">
        <is>
          <t>r</t>
        </is>
      </c>
      <c r="B4" s="7" t="n">
        <v>9.039999999999999</v>
      </c>
    </row>
    <row r="5">
      <c r="A5" s="6" t="inlineStr">
        <is>
          <t>u(p)</t>
        </is>
      </c>
      <c r="B5" s="7" t="n">
        <v>0.13</v>
      </c>
    </row>
    <row r="6">
      <c r="A6" s="6" t="inlineStr">
        <is>
          <t>u(q)</t>
        </is>
      </c>
      <c r="B6" s="7" t="n">
        <v>0.05</v>
      </c>
    </row>
    <row r="7">
      <c r="A7" s="6" t="inlineStr">
        <is>
          <t>u(r)</t>
        </is>
      </c>
      <c r="B7" s="7" t="n">
        <v>0.22</v>
      </c>
    </row>
    <row r="8">
      <c r="A8" s="9" t="inlineStr">
        <is>
          <t>y = p − q + r</t>
        </is>
      </c>
      <c r="B8" s="10">
        <f>B2-B3+B4</f>
        <v/>
      </c>
      <c r="C8" s="11" t="inlineStr">
        <is>
          <t>'=B2-B3+B4</t>
        </is>
      </c>
      <c r="D8" s="8" t="inlineStr">
        <is>
          <t>把三項直接代入模型算 y</t>
        </is>
      </c>
    </row>
    <row r="9">
      <c r="A9" s="9" t="inlineStr">
        <is>
          <t>合成 u_c(y) = √(u(p)²+u(q)²+u(r)²)</t>
        </is>
      </c>
      <c r="B9" s="10">
        <f>SQRT(SUMSQ(B5,B6,B7))</f>
        <v/>
      </c>
      <c r="C9" s="11" t="inlineStr">
        <is>
          <t>'=SQRT(SUMSQ(B5,B6,B7))</t>
        </is>
      </c>
      <c r="D9" s="8" t="inlineStr">
        <is>
          <t>Rule 1：絕對 u 直接平方相加再開根號</t>
        </is>
      </c>
    </row>
    <row r="10">
      <c r="A10" s="9" t="inlineStr">
        <is>
          <t>擴展不確定度 U = 2·u_c (k=2)</t>
        </is>
      </c>
      <c r="B10" s="10">
        <f>2*B9</f>
        <v/>
      </c>
      <c r="C10" s="11" t="inlineStr">
        <is>
          <t>'=2*B9</t>
        </is>
      </c>
    </row>
    <row r="12">
      <c r="A12" s="12" t="inlineStr">
        <is>
          <t>y = 7.61 ± 0.52（k=2）。注意 u_c=0.26 比三項中最大的 u(r)=0.22 只多一點——這正是「平方和開根號」比「直接相加」保守但不會過度誇大的原因。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  <col width="54" customWidth="1" min="4" max="4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白話說明</t>
        </is>
      </c>
    </row>
    <row r="2">
      <c r="A2" s="6" t="inlineStr">
        <is>
          <t>o</t>
        </is>
      </c>
      <c r="B2" s="7" t="n">
        <v>2.46</v>
      </c>
      <c r="D2" s="8" t="inlineStr">
        <is>
          <t>QUAM §8.2.8 例題2：y = o·p/(q·r)</t>
        </is>
      </c>
    </row>
    <row r="3">
      <c r="A3" s="6" t="inlineStr">
        <is>
          <t>p</t>
        </is>
      </c>
      <c r="B3" s="7" t="n">
        <v>4.32</v>
      </c>
    </row>
    <row r="4">
      <c r="A4" s="6" t="inlineStr">
        <is>
          <t>q</t>
        </is>
      </c>
      <c r="B4" s="7" t="n">
        <v>6.38</v>
      </c>
    </row>
    <row r="5">
      <c r="A5" s="6" t="inlineStr">
        <is>
          <t>r</t>
        </is>
      </c>
      <c r="B5" s="7" t="n">
        <v>2.99</v>
      </c>
    </row>
    <row r="6">
      <c r="A6" s="6" t="inlineStr">
        <is>
          <t>u(o)</t>
        </is>
      </c>
      <c r="B6" s="7" t="n">
        <v>0.02</v>
      </c>
    </row>
    <row r="7">
      <c r="A7" s="6" t="inlineStr">
        <is>
          <t>u(p)</t>
        </is>
      </c>
      <c r="B7" s="7" t="n">
        <v>0.13</v>
      </c>
    </row>
    <row r="8">
      <c r="A8" s="6" t="inlineStr">
        <is>
          <t>u(q)</t>
        </is>
      </c>
      <c r="B8" s="7" t="n">
        <v>0.11</v>
      </c>
    </row>
    <row r="9">
      <c r="A9" s="6" t="inlineStr">
        <is>
          <t>u(r)</t>
        </is>
      </c>
      <c r="B9" s="7" t="n">
        <v>0.07000000000000001</v>
      </c>
    </row>
    <row r="10">
      <c r="A10" s="9" t="inlineStr">
        <is>
          <t>y = o·p/(q·r)</t>
        </is>
      </c>
      <c r="B10" s="10">
        <f>B2*B3/(B4*B5)</f>
        <v/>
      </c>
      <c r="C10" s="11" t="inlineStr">
        <is>
          <t>'=B2*B3/(B4*B5)</t>
        </is>
      </c>
    </row>
    <row r="11">
      <c r="A11" s="6" t="inlineStr">
        <is>
          <t>相對 u(o)/o</t>
        </is>
      </c>
      <c r="B11" s="13">
        <f>B6/B2</f>
        <v/>
      </c>
      <c r="C11" s="11" t="inlineStr">
        <is>
          <t>'=B6/B2</t>
        </is>
      </c>
      <c r="D11" s="8" t="inlineStr">
        <is>
          <t>乘除模型要先換成相對不確定度</t>
        </is>
      </c>
    </row>
    <row r="12">
      <c r="A12" s="6" t="inlineStr">
        <is>
          <t>相對 u(p)/p</t>
        </is>
      </c>
      <c r="B12" s="13">
        <f>B7/B3</f>
        <v/>
      </c>
      <c r="C12" s="11" t="inlineStr">
        <is>
          <t>'=B7/B3</t>
        </is>
      </c>
    </row>
    <row r="13">
      <c r="A13" s="6" t="inlineStr">
        <is>
          <t>相對 u(q)/q</t>
        </is>
      </c>
      <c r="B13" s="13">
        <f>B8/B4</f>
        <v/>
      </c>
      <c r="C13" s="11" t="inlineStr">
        <is>
          <t>'=B8/B4</t>
        </is>
      </c>
    </row>
    <row r="14">
      <c r="A14" s="6" t="inlineStr">
        <is>
          <t>相對 u(r)/r</t>
        </is>
      </c>
      <c r="B14" s="13">
        <f>B9/B5</f>
        <v/>
      </c>
      <c r="C14" s="11" t="inlineStr">
        <is>
          <t>'=B9/B5</t>
        </is>
      </c>
    </row>
    <row r="15">
      <c r="A15" s="9" t="inlineStr">
        <is>
          <t>相對合成 u_c(y)/y</t>
        </is>
      </c>
      <c r="B15" s="10">
        <f>SQRT(SUMSQ(B11,B12,B13,B14))</f>
        <v/>
      </c>
      <c r="C15" s="11" t="inlineStr">
        <is>
          <t>'=SQRT(SUMSQ(B11,B12,B13,B14))</t>
        </is>
      </c>
      <c r="D15" s="8" t="inlineStr">
        <is>
          <t>Rule 2：相對 u 平方和開根號</t>
        </is>
      </c>
    </row>
    <row r="16">
      <c r="A16" s="9" t="inlineStr">
        <is>
          <t>合成 u_c(y) = y × 相對合成</t>
        </is>
      </c>
      <c r="B16" s="10">
        <f>B10*B15</f>
        <v/>
      </c>
      <c r="C16" s="11" t="inlineStr">
        <is>
          <t>'=B10*B15</t>
        </is>
      </c>
      <c r="D16" s="8" t="inlineStr">
        <is>
          <t>算完相對合成，要乘回 y 才是絕對 u_c</t>
        </is>
      </c>
    </row>
    <row r="17">
      <c r="A17" s="9" t="inlineStr">
        <is>
          <t>擴展不確定度 U = 2·u_c (k=2)</t>
        </is>
      </c>
      <c r="B17" s="10">
        <f>2*B16</f>
        <v/>
      </c>
      <c r="C17" s="11" t="inlineStr">
        <is>
          <t>'=2*B16</t>
        </is>
      </c>
    </row>
    <row r="19">
      <c r="A19" s="12" t="inlineStr">
        <is>
          <t>y = 0.557 ± 0.047（k=2）。切記：乘除模型絕對不能直接把 u(o),u(p),u(q),u(r) 平方相加——一定要先各自除以自己的名義值變成相對 u。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4" customWidth="1" min="3" max="3"/>
    <col width="54" customWidth="1" min="4" max="4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白話說明</t>
        </is>
      </c>
    </row>
    <row r="2">
      <c r="A2" s="6" t="inlineStr">
        <is>
          <t>來源1：其他效應合成 u</t>
        </is>
      </c>
      <c r="B2" s="14" t="n">
        <v>0.01</v>
      </c>
      <c r="D2" s="8" t="inlineStr">
        <is>
          <t>QUAM §8.3.4 稱重例</t>
        </is>
      </c>
    </row>
    <row r="3">
      <c r="A3" s="6" t="inlineStr">
        <is>
          <t>來源2：重複性 s_obs（Type A，n=5）</t>
        </is>
      </c>
      <c r="B3" s="14" t="n">
        <v>0.08</v>
      </c>
      <c r="D3" s="8" t="inlineStr">
        <is>
          <t>同一樣品稱 5 次的標準差</t>
        </is>
      </c>
    </row>
    <row r="4">
      <c r="A4" s="6" t="inlineStr">
        <is>
          <t>主導項的自由度 df = n−1</t>
        </is>
      </c>
      <c r="B4" s="15" t="n">
        <v>4</v>
      </c>
    </row>
    <row r="5">
      <c r="A5" s="9" t="inlineStr">
        <is>
          <t>合成 u_c</t>
        </is>
      </c>
      <c r="B5" s="10">
        <f>SQRT(SUMSQ(B2,B3))</f>
        <v/>
      </c>
      <c r="C5" s="11" t="inlineStr">
        <is>
          <t>'=SQRT(SUMSQ(B2,B3))</t>
        </is>
      </c>
    </row>
    <row r="6">
      <c r="A6" s="6" t="inlineStr">
        <is>
          <t>若直接用 k = 2（假設自由度足夠大）</t>
        </is>
      </c>
      <c r="B6" s="16" t="n">
        <v>2</v>
      </c>
      <c r="D6" s="8" t="inlineStr">
        <is>
          <t>一般情況的預設值</t>
        </is>
      </c>
    </row>
    <row r="7">
      <c r="A7" s="9" t="inlineStr">
        <is>
          <t>U（用 k=2 算，可能低估）</t>
        </is>
      </c>
      <c r="B7" s="10">
        <f>B6*B5</f>
        <v/>
      </c>
      <c r="C7" s="11" t="inlineStr">
        <is>
          <t>'=B6*B5</t>
        </is>
      </c>
      <c r="D7" s="8" t="inlineStr">
        <is>
          <t>當主導項自由度很小時，k=2 不足以達到約 95% 信賴</t>
        </is>
      </c>
    </row>
    <row r="8">
      <c r="A8" s="9" t="inlineStr">
        <is>
          <t>改查主導項 df 的雙尾 95% t 值</t>
        </is>
      </c>
      <c r="B8" s="10">
        <f>_xlfn.T.INV.2T(0.05,B4)</f>
        <v/>
      </c>
      <c r="C8" s="11" t="inlineStr">
        <is>
          <t>'=T.INV.2T(0.05,B4)</t>
        </is>
      </c>
      <c r="D8" s="8" t="inlineStr">
        <is>
          <t>df=4 → t=2.776，QUAM 表中取 2.8</t>
        </is>
      </c>
    </row>
    <row r="9">
      <c r="A9" s="9" t="inlineStr">
        <is>
          <t>正確做法：U = k_t × u_c</t>
        </is>
      </c>
      <c r="B9" s="10">
        <f>B8*B5</f>
        <v/>
      </c>
      <c r="C9" s="11" t="inlineStr">
        <is>
          <t>'=B8*B5</t>
        </is>
      </c>
    </row>
    <row r="11">
      <c r="A11" s="12" t="inlineStr">
        <is>
          <t>u_c 被自由度只有 4 的 Type A 項主導時，常態近似（k=2≈95%）不可靠；改用該項自由度查雙尾 t 值，U 從 0.161 修正為 0.224（QUAM 課本數字取 2.8×0.081≈0.23）。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24" customWidth="1" min="5" max="5"/>
    <col width="30" customWidth="1" min="6" max="6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白話說明</t>
        </is>
      </c>
    </row>
    <row r="2">
      <c r="A2" s="6" t="inlineStr">
        <is>
          <t>重複性 u（Type A）</t>
        </is>
      </c>
      <c r="B2" s="14" t="n">
        <v>0.006</v>
      </c>
      <c r="D2" s="8" t="inlineStr">
        <is>
          <t>果汁中鉛 (Pb) 完整小案例，各分量標準不確定度 (mg/L)</t>
        </is>
      </c>
    </row>
    <row r="3">
      <c r="A3" s="6" t="inlineStr">
        <is>
          <t>校正曲線 u</t>
        </is>
      </c>
      <c r="B3" s="14" t="n">
        <v>0.004</v>
      </c>
    </row>
    <row r="4">
      <c r="A4" s="6" t="inlineStr">
        <is>
          <t>空白 u</t>
        </is>
      </c>
      <c r="B4" s="14" t="n">
        <v>0.002</v>
      </c>
    </row>
    <row r="5">
      <c r="A5" s="6" t="inlineStr">
        <is>
          <t>體積 u</t>
        </is>
      </c>
      <c r="B5" s="14" t="n">
        <v>0.0015</v>
      </c>
    </row>
    <row r="6">
      <c r="A6" s="6" t="inlineStr">
        <is>
          <t>回收率 u</t>
        </is>
      </c>
      <c r="B6" s="14" t="n">
        <v>0.005</v>
      </c>
    </row>
    <row r="7">
      <c r="A7" s="9" t="inlineStr">
        <is>
          <t>合成 u_c(Pb)</t>
        </is>
      </c>
      <c r="B7" s="10">
        <f>SQRT(SUMSQ(B2,B3,B4,B5,B6))</f>
        <v/>
      </c>
      <c r="C7" s="11" t="inlineStr">
        <is>
          <t>'=SQRT(SUMSQ(B2,B3,B4,B5,B6))</t>
        </is>
      </c>
    </row>
    <row r="8">
      <c r="A8" s="6" t="inlineStr">
        <is>
          <t>Pb 測得結果 (mg/L)</t>
        </is>
      </c>
      <c r="B8" s="17" t="n">
        <v>0.08500000000000001</v>
      </c>
    </row>
    <row r="9">
      <c r="A9" s="9" t="inlineStr">
        <is>
          <t>擴展不確定度 U_Pb = 2·u_c</t>
        </is>
      </c>
      <c r="B9" s="10">
        <f>2*B7</f>
        <v/>
      </c>
      <c r="C9" s="11" t="inlineStr">
        <is>
          <t>'=2*B7</t>
        </is>
      </c>
    </row>
    <row r="10">
      <c r="A10" s="6" t="inlineStr">
        <is>
          <t>法規限值 (mg/L)</t>
        </is>
      </c>
      <c r="B10" s="17" t="n">
        <v>0.1</v>
      </c>
    </row>
    <row r="12">
      <c r="A12" s="5" t="inlineStr">
        <is>
          <t>案例</t>
        </is>
      </c>
      <c r="B12" s="5" t="inlineStr">
        <is>
          <t>測值 result</t>
        </is>
      </c>
      <c r="C12" s="5" t="inlineStr">
        <is>
          <t>擴展不確定度 U</t>
        </is>
      </c>
      <c r="D12" s="5" t="inlineStr">
        <is>
          <t>限值 L</t>
        </is>
      </c>
      <c r="E12" s="5" t="inlineStr">
        <is>
          <t>簡單法則</t>
        </is>
      </c>
      <c r="F12" s="5" t="inlineStr">
        <is>
          <t>保守規則（QUAM Fig.2）</t>
        </is>
      </c>
    </row>
    <row r="13">
      <c r="A13" s="6" t="inlineStr">
        <is>
          <t>(i)</t>
        </is>
      </c>
      <c r="B13" s="18" t="n">
        <v>11.5</v>
      </c>
      <c r="C13" s="18" t="n">
        <v>1</v>
      </c>
      <c r="D13" s="18" t="n">
        <v>10</v>
      </c>
      <c r="E13" s="6">
        <f>IF(B13&gt;D13,"不符合","符合")</f>
        <v/>
      </c>
      <c r="F13" s="6">
        <f>IF(B13-C13&gt;D13,"不符合",IF(B13+C13&lt;=D13,"符合","無法判定"))</f>
        <v/>
      </c>
    </row>
    <row r="14">
      <c r="A14" s="6" t="inlineStr">
        <is>
          <t>(ii)</t>
        </is>
      </c>
      <c r="B14" s="18" t="n">
        <v>10.6</v>
      </c>
      <c r="C14" s="18" t="n">
        <v>1</v>
      </c>
      <c r="D14" s="18" t="n">
        <v>10</v>
      </c>
      <c r="E14" s="6">
        <f>IF(B14&gt;D14,"不符合","符合")</f>
        <v/>
      </c>
      <c r="F14" s="6">
        <f>IF(B14-C14&gt;D14,"不符合",IF(B14+C14&lt;=D14,"符合","無法判定"))</f>
        <v/>
      </c>
    </row>
    <row r="15">
      <c r="A15" s="6" t="inlineStr">
        <is>
          <t>(iii)</t>
        </is>
      </c>
      <c r="B15" s="18" t="n">
        <v>9.6</v>
      </c>
      <c r="C15" s="18" t="n">
        <v>1</v>
      </c>
      <c r="D15" s="18" t="n">
        <v>10</v>
      </c>
      <c r="E15" s="6">
        <f>IF(B15&gt;D15,"不符合","符合")</f>
        <v/>
      </c>
      <c r="F15" s="6">
        <f>IF(B15-C15&gt;D15,"不符合",IF(B15+C15&lt;=D15,"符合","無法判定"))</f>
        <v/>
      </c>
    </row>
    <row r="16">
      <c r="A16" s="6" t="inlineStr">
        <is>
          <t>(iv)</t>
        </is>
      </c>
      <c r="B16" s="18" t="n">
        <v>8.800000000000001</v>
      </c>
      <c r="C16" s="18" t="n">
        <v>1</v>
      </c>
      <c r="D16" s="18" t="n">
        <v>10</v>
      </c>
      <c r="E16" s="6">
        <f>IF(B16&gt;D16,"不符合","符合")</f>
        <v/>
      </c>
      <c r="F16" s="6">
        <f>IF(B16-C16&gt;D16,"不符合",IF(B16+C16&lt;=D16,"符合","無法判定"))</f>
        <v/>
      </c>
    </row>
    <row r="17">
      <c r="A17" s="6" t="inlineStr">
        <is>
          <t>鉛案例</t>
        </is>
      </c>
      <c r="B17" s="6">
        <f>B8</f>
        <v/>
      </c>
      <c r="C17" s="6">
        <f>B9</f>
        <v/>
      </c>
      <c r="D17" s="6">
        <f>B10</f>
        <v/>
      </c>
      <c r="E17" s="6">
        <f>IF(B17&gt;D17,"不符合","符合")</f>
        <v/>
      </c>
      <c r="F17" s="6">
        <f>IF(B17-C17&gt;D17,"不符合",IF(B17+C17&lt;=D17,"符合","無法判定"))</f>
        <v/>
      </c>
    </row>
    <row r="19">
      <c r="A19" s="19" t="inlineStr">
        <is>
          <t>(ii)(iii) 在保守規則下都是「無法判定」，簡單法則卻分別判「不符合」與「符合」——結論可能相反，所以決策規則要事先約定。鉛案例：0.085+0.018=0.103&gt;0.10，但 0.085−0.018=0.067 遠低於 0.10，落在灰色地帶。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6" t="inlineStr">
        <is>
          <t>Rule1 y</t>
        </is>
      </c>
      <c r="B2" s="20">
        <f>'Rule1_加減'!B8</f>
        <v/>
      </c>
      <c r="C2" s="20" t="n">
        <v>7.61</v>
      </c>
      <c r="D2" s="21">
        <f>IF(ABS(B2-C2)&lt;=0.0038050000000000002,"✓","✗")</f>
        <v/>
      </c>
      <c r="E2" s="19" t="inlineStr">
        <is>
          <t>'Rule1_加減'!B8</t>
        </is>
      </c>
    </row>
    <row r="3">
      <c r="A3" s="6" t="inlineStr">
        <is>
          <t>Rule1 uc</t>
        </is>
      </c>
      <c r="B3" s="20">
        <f>'Rule1_加減'!B9</f>
        <v/>
      </c>
      <c r="C3" s="20" t="n">
        <v>0.2603843313</v>
      </c>
      <c r="D3" s="21">
        <f>IF(ABS(B3-C3)&lt;=0.00013019216564999999,"✓","✗")</f>
        <v/>
      </c>
      <c r="E3" s="19" t="inlineStr">
        <is>
          <t>'Rule1_加減'!B9</t>
        </is>
      </c>
    </row>
    <row r="4">
      <c r="A4" s="6" t="inlineStr">
        <is>
          <t>Rule1 U(k=2)</t>
        </is>
      </c>
      <c r="B4" s="20">
        <f>'Rule1_加減'!B10</f>
        <v/>
      </c>
      <c r="C4" s="20" t="n">
        <v>0.5207686627</v>
      </c>
      <c r="D4" s="21">
        <f>IF(ABS(B4-C4)&lt;=0.00026038433135,"✓","✗")</f>
        <v/>
      </c>
      <c r="E4" s="19" t="inlineStr">
        <is>
          <t>'Rule1_加減'!B10</t>
        </is>
      </c>
    </row>
    <row r="5">
      <c r="A5" s="6" t="inlineStr">
        <is>
          <t>Rule2 y</t>
        </is>
      </c>
      <c r="B5" s="20">
        <f>'Rule2_乘除'!B10</f>
        <v/>
      </c>
      <c r="C5" s="20" t="n">
        <v>0.5570920833</v>
      </c>
      <c r="D5" s="21">
        <f>IF(ABS(B5-C5)&lt;=0.00027854604165000003,"✓","✗")</f>
        <v/>
      </c>
      <c r="E5" s="19" t="inlineStr">
        <is>
          <t>'Rule2_乘除'!B10</t>
        </is>
      </c>
    </row>
    <row r="6">
      <c r="A6" s="6" t="inlineStr">
        <is>
          <t>Rule2 相對合成</t>
        </is>
      </c>
      <c r="B6" s="20">
        <f>'Rule2_乘除'!B15</f>
        <v/>
      </c>
      <c r="C6" s="20" t="n">
        <v>0.04262651539</v>
      </c>
      <c r="D6" s="21">
        <f>IF(ABS(B6-C6)&lt;=2.1313257695e-05,"✓","✗")</f>
        <v/>
      </c>
      <c r="E6" s="19" t="inlineStr">
        <is>
          <t>'Rule2_乘除'!B15</t>
        </is>
      </c>
    </row>
    <row r="7">
      <c r="A7" s="6" t="inlineStr">
        <is>
          <t>Rule2 uc</t>
        </is>
      </c>
      <c r="B7" s="20">
        <f>'Rule2_乘除'!B16</f>
        <v/>
      </c>
      <c r="C7" s="20" t="n">
        <v>0.02374689427</v>
      </c>
      <c r="D7" s="21">
        <f>IF(ABS(B7-C7)&lt;=1.1873447135e-05,"✓","✗")</f>
        <v/>
      </c>
      <c r="E7" s="19" t="inlineStr">
        <is>
          <t>'Rule2_乘除'!B16</t>
        </is>
      </c>
    </row>
    <row r="8">
      <c r="A8" s="6" t="inlineStr">
        <is>
          <t>Rule2 U(k=2)</t>
        </is>
      </c>
      <c r="B8" s="20">
        <f>'Rule2_乘除'!B17</f>
        <v/>
      </c>
      <c r="C8" s="20" t="n">
        <v>0.04749378855</v>
      </c>
      <c r="D8" s="21">
        <f>IF(ABS(B8-C8)&lt;=2.3746894275e-05,"✓","✗")</f>
        <v/>
      </c>
      <c r="E8" s="19" t="inlineStr">
        <is>
          <t>'Rule2_乘除'!B17</t>
        </is>
      </c>
    </row>
    <row r="9">
      <c r="A9" s="6" t="inlineStr">
        <is>
          <t>稱重例 uc</t>
        </is>
      </c>
      <c r="B9" s="20">
        <f>'擴展不確定度_t值'!B5</f>
        <v/>
      </c>
      <c r="C9" s="20" t="n">
        <v>0.08062257748</v>
      </c>
      <c r="D9" s="21">
        <f>IF(ABS(B9-C9)&lt;=4.031128874e-05,"✓","✗")</f>
        <v/>
      </c>
      <c r="E9" s="19" t="inlineStr">
        <is>
          <t>'擴展不確定度_t值'!B5</t>
        </is>
      </c>
    </row>
    <row r="10">
      <c r="A10" s="6" t="inlineStr">
        <is>
          <t>df=4 雙尾t值</t>
        </is>
      </c>
      <c r="B10" s="20">
        <f>'擴展不確定度_t值'!B8</f>
        <v/>
      </c>
      <c r="C10" s="20" t="n">
        <v>2.776445105</v>
      </c>
      <c r="D10" s="21">
        <f>IF(ABS(B10-C10)&lt;=0.0013882225525000001,"✓","✗")</f>
        <v/>
      </c>
      <c r="E10" s="19" t="inlineStr">
        <is>
          <t>'擴展不確定度_t值'!B8</t>
        </is>
      </c>
    </row>
    <row r="11">
      <c r="A11" s="6" t="inlineStr">
        <is>
          <t>稱重例 U(t值)</t>
        </is>
      </c>
      <c r="B11" s="20">
        <f>'擴展不確定度_t值'!B9</f>
        <v/>
      </c>
      <c r="C11" s="20" t="n">
        <v>0.2238441606</v>
      </c>
      <c r="D11" s="21">
        <f>IF(ABS(B11-C11)&lt;=0.00011192208030000001,"✓","✗")</f>
        <v/>
      </c>
      <c r="E11" s="19" t="inlineStr">
        <is>
          <t>'擴展不確定度_t值'!B9</t>
        </is>
      </c>
    </row>
    <row r="12">
      <c r="A12" s="6" t="inlineStr">
        <is>
          <t>鉛 uc</t>
        </is>
      </c>
      <c r="B12" s="20">
        <f>'符合性判定'!B7</f>
        <v/>
      </c>
      <c r="C12" s="20" t="n">
        <v>0.009124143794999999</v>
      </c>
      <c r="D12" s="21">
        <f>IF(ABS(B12-C12)&lt;=4.5620718975e-06,"✓","✗")</f>
        <v/>
      </c>
      <c r="E12" s="19" t="inlineStr">
        <is>
          <t>'符合性判定'!B7</t>
        </is>
      </c>
    </row>
    <row r="13">
      <c r="A13" s="6" t="inlineStr">
        <is>
          <t>鉛 U</t>
        </is>
      </c>
      <c r="B13" s="20">
        <f>'符合性判定'!B9</f>
        <v/>
      </c>
      <c r="C13" s="20" t="n">
        <v>0.01824828759</v>
      </c>
      <c r="D13" s="21">
        <f>IF(ABS(B13-C13)&lt;=9.124143795e-06,"✓","✗")</f>
        <v/>
      </c>
      <c r="E13" s="19" t="inlineStr">
        <is>
          <t>'符合性判定'!B9</t>
        </is>
      </c>
    </row>
    <row r="15">
      <c r="A15" s="8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