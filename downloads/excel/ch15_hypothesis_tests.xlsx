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one-sample t" sheetId="2" state="visible" r:id="rId2"/>
    <sheet xmlns:r="http://schemas.openxmlformats.org/officeDocument/2006/relationships" name="paired t" sheetId="3" state="visible" r:id="rId3"/>
    <sheet xmlns:r="http://schemas.openxmlformats.org/officeDocument/2006/relationships" name="Welch t" sheetId="4" state="visible" r:id="rId4"/>
    <sheet xmlns:r="http://schemas.openxmlformats.org/officeDocument/2006/relationships" name="F檢定" sheetId="5" state="visible" r:id="rId5"/>
    <sheet xmlns:r="http://schemas.openxmlformats.org/officeDocument/2006/relationships" name="對照R答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2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1" pivotButton="0" quotePrefix="0" xfId="0"/>
    <xf numFmtId="0" fontId="8" fillId="0" borderId="1" pivotButton="0" quotePrefix="0" xfId="0"/>
    <xf numFmtId="164" fontId="8" fillId="4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Ch15 假說檢定：t 檢定與 F 檢定</t>
        </is>
      </c>
    </row>
    <row r="2">
      <c r="A2" s="2" t="inlineStr">
        <is>
          <t>對應網頁：ch15.html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本章比較「一組數據 vs 一個已知值」（one-sample t）、「同一批樣品測兩次」（paired t）、「兩組互相獨立的樣品」（Welch t）、「兩組精密度誰比較好」（F 檢定）四種最常用的檢定。</t>
        </is>
      </c>
    </row>
    <row r="6">
      <c r="A6" s="4" t="inlineStr">
        <is>
          <t>四張計算表都先「逐步公式版」（看得到 t、p、df 每一步怎麼來），再放「一格函數版」（T.TEST／F.TEST）互相對照，數字要一樣才對。</t>
        </is>
      </c>
    </row>
    <row r="7">
      <c r="A7" s="3" t="inlineStr">
        <is>
          <t>怎麼用</t>
        </is>
      </c>
    </row>
    <row r="8">
      <c r="A8" s="4" t="inlineStr">
        <is>
          <t>1. 每張表左邊黃色是原始數據，右邊每一列是一個公式，C 欄印出公式原文。</t>
        </is>
      </c>
    </row>
    <row r="9">
      <c r="A9" s="4" t="inlineStr">
        <is>
          <t>2. 「Welch t」表把 Welch–Satterthwaite 自由度拆成三步（see the 分子/分母 rows）——這是本章最容易被跳過的計算。</t>
        </is>
      </c>
    </row>
    <row r="10">
      <c r="A10" s="4" t="inlineStr">
        <is>
          <t>3. 試著把「paired t」表的杜馬斯數據改一兩個值，看 p 值怎麼變；也試試把 paired 的兩欄硬套進「兩獨立樣本」公式，體會 15.5 節「誤用」的後果。</t>
        </is>
      </c>
    </row>
    <row r="11">
      <c r="A11" s="4" t="inlineStr">
        <is>
          <t>4. 「對照R答案」工作表核對 Excel 與 R 是否一致。</t>
        </is>
      </c>
    </row>
    <row r="12">
      <c r="A12" s="3" t="inlineStr">
        <is>
          <t>觀念提醒</t>
        </is>
      </c>
    </row>
    <row r="13">
      <c r="A13" s="4" t="inlineStr">
        <is>
          <t>T.TEST 和 F.TEST 只回傳「雙尾 p 值」，不會給你 t／F 統計量、自由度或信賴區間；要完整報告，仍要用本活頁簿的「逐步公式版」或回到 R。</t>
        </is>
      </c>
    </row>
    <row r="14">
      <c r="A14" s="4" t="inlineStr">
        <is>
          <t>T.TEST 第 4 個引數（type）：1＝成對（paired）、2＝兩獨立樣本且假設變異數相等、3＝兩獨立樣本且不假設變異數相等（Welch，預設應選這個）。</t>
        </is>
      </c>
    </row>
    <row r="15">
      <c r="A15" s="3" t="inlineStr">
        <is>
          <t>資料分析工具箱（Analysis ToolPak）操作步驟</t>
        </is>
      </c>
    </row>
    <row r="16">
      <c r="A16" s="4" t="inlineStr">
        <is>
          <t>① 啟用：檔案 → 選項 → 增益集 → 管理「Excel 增益集」→ 執行 → 勾選「分析工具箱」→ 確定。之後「資料」分頁會出現「資料分析」按鈕。</t>
        </is>
      </c>
    </row>
    <row r="17">
      <c r="A17" s="4" t="inlineStr">
        <is>
          <t>② 三種 t 檢定：「資料」→「資料分析」→ 依情境選：</t>
        </is>
      </c>
    </row>
    <row r="18">
      <c r="A18" s="4" t="inlineStr">
        <is>
          <t xml:space="preserve">　・成對數據（如凱氏 vs 杜馬斯同一樣品各測一次）→「t 檢定：成對母體平均差異檢定」；「變數 1 範圍」放杜馬斯、「變數 2 範圍」放凱氏、「假設的均值差」填 0。輸出的 t、自由度、雙尾 P 值分別對應 R 的 t.test(paired=TRUE) 的 t、df、p-value。</t>
        </is>
      </c>
    </row>
    <row r="19">
      <c r="A19" s="4" t="inlineStr">
        <is>
          <t xml:space="preserve">　・兩獨立樣本、不假設變異數相等（醬油兩產線）→「t 檢定：兩個母體平均數差的檢定，假設變異數不相等」（Welch）。輸出的 t Stat、自由度（注意是小數！）、P(T&lt;=t) 雙尾就是 R 的 t、df、p。</t>
        </is>
      </c>
    </row>
    <row r="20">
      <c r="A20" s="4" t="inlineStr">
        <is>
          <t xml:space="preserve">　・兩獨立樣本、假設變異數相等 → 「t 檢定：兩個母體平均數差的檢定，假設變異數相等」——本章刻意示範這個假設不成立時結論會翻盤（見「Welch t」表）。</t>
        </is>
      </c>
    </row>
    <row r="21">
      <c r="A21" s="4" t="inlineStr">
        <is>
          <t xml:space="preserve">　・one-sample t（CRM 認證值）Excel 工具箱&lt;b&gt;沒有&lt;/b&gt;這個選項，只能用本活頁簿「逐步公式版」自己算，或把認證值當成配對的另一欄硬湊成對比較（不建議，容易搞混）。</t>
        </is>
      </c>
    </row>
    <row r="22">
      <c r="A22" s="4" t="inlineStr">
        <is>
          <t>③ F 檢定（兩個常態母體變異數）：「資料分析」→「F 檢定：兩個常態母體變異數的檢定」；「變數 1 範圍」放新人、「變數 2 範圍」放資深、α = 0.05。輸出的 F 值對應 VAR.S(新人)/VAR.S(資深)；「F 單尾」是單尾臨界值與 p；若要雙尾 p 要自己乘 2（或直接用 F.TEST，見計算表）。</t>
        </is>
      </c>
    </row>
    <row r="23">
      <c r="A23" s="4" t="inlineStr">
        <is>
          <t>④ 工具箱輸出是&lt;strong&gt;靜態貼上的數字&lt;/strong&gt;：改了原始數據，工具箱的表不會自動重算，要重新跑一次「資料分析」；本活頁簿的公式版會自動重算，這是兩者最大的差別。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62" customWidth="1" min="4" max="4"/>
  </cols>
  <sheetData>
    <row r="1">
      <c r="A1" s="5" t="inlineStr">
        <is>
          <t>奶粉CRM粗蛋白 (g/100 g)</t>
        </is>
      </c>
    </row>
    <row r="2">
      <c r="A2" s="6" t="n">
        <v>34.92</v>
      </c>
    </row>
    <row r="3">
      <c r="A3" s="6" t="n">
        <v>35.12</v>
      </c>
    </row>
    <row r="4">
      <c r="A4" s="6" t="n">
        <v>34.85</v>
      </c>
    </row>
    <row r="5">
      <c r="A5" s="6" t="n">
        <v>35.04</v>
      </c>
    </row>
    <row r="6">
      <c r="A6" s="6" t="n">
        <v>34.81</v>
      </c>
    </row>
    <row r="7">
      <c r="A7" s="6" t="n">
        <v>34.98</v>
      </c>
    </row>
    <row r="9">
      <c r="A9" s="5" t="inlineStr">
        <is>
          <t>項目</t>
        </is>
      </c>
      <c r="B9" s="5" t="inlineStr">
        <is>
          <t>結果</t>
        </is>
      </c>
      <c r="C9" s="5" t="inlineStr">
        <is>
          <t>公式</t>
        </is>
      </c>
      <c r="D9" s="5" t="inlineStr">
        <is>
          <t>白話說明</t>
        </is>
      </c>
    </row>
    <row r="10">
      <c r="A10" s="7" t="inlineStr">
        <is>
          <t>n（重複次數）</t>
        </is>
      </c>
      <c r="B10" s="8">
        <f>COUNT(A2:A7)</f>
        <v/>
      </c>
      <c r="C10" s="9" t="inlineStr">
        <is>
          <t>'=COUNT(A2:A7)</t>
        </is>
      </c>
      <c r="D10" s="10" t="inlineStr">
        <is>
          <t>數一數測了幾次</t>
        </is>
      </c>
    </row>
    <row r="11">
      <c r="A11" s="7" t="inlineStr">
        <is>
          <t>平均 x̄</t>
        </is>
      </c>
      <c r="B11" s="11">
        <f>AVERAGE(A2:A7)</f>
        <v/>
      </c>
      <c r="C11" s="9" t="inlineStr">
        <is>
          <t>'=AVERAGE(A2:A7)</t>
        </is>
      </c>
      <c r="D11" s="10" t="inlineStr">
        <is>
          <t>6 次凱氏法的平均</t>
        </is>
      </c>
    </row>
    <row r="12">
      <c r="A12" s="7" t="inlineStr">
        <is>
          <t>標準差 SD</t>
        </is>
      </c>
      <c r="B12" s="11">
        <f>_xlfn.STDEV.S(A2:A7)</f>
        <v/>
      </c>
      <c r="C12" s="9" t="inlineStr">
        <is>
          <t>'=STDEV.S(A2:A7)</t>
        </is>
      </c>
      <c r="D12" s="10" t="inlineStr">
        <is>
          <t>分母 n−1</t>
        </is>
      </c>
    </row>
    <row r="13">
      <c r="A13" s="7" t="inlineStr">
        <is>
          <t>CRM 認證值 μ₀</t>
        </is>
      </c>
      <c r="B13" s="6" t="n">
        <v>35.1</v>
      </c>
      <c r="D13" s="10" t="inlineStr">
        <is>
          <t>可以改成別的認證值試試</t>
        </is>
      </c>
    </row>
    <row r="14">
      <c r="A14" s="7" t="inlineStr">
        <is>
          <t>偏倚 bias = x̄ − μ₀</t>
        </is>
      </c>
      <c r="B14" s="11">
        <f>B11-B13</f>
        <v/>
      </c>
      <c r="C14" s="9" t="inlineStr">
        <is>
          <t>'=B11-B13</t>
        </is>
      </c>
      <c r="D14" s="10" t="inlineStr">
        <is>
          <t>平均離認證值多遠</t>
        </is>
      </c>
    </row>
    <row r="15">
      <c r="A15" s="7" t="inlineStr">
        <is>
          <t>標準誤 SEM</t>
        </is>
      </c>
      <c r="B15" s="11">
        <f>B12/SQRT(B10)</f>
        <v/>
      </c>
      <c r="C15" s="9" t="inlineStr">
        <is>
          <t>'=B12/SQRT(B10)</t>
        </is>
      </c>
      <c r="D15" s="10" t="inlineStr">
        <is>
          <t>SD ÷ √n</t>
        </is>
      </c>
    </row>
    <row r="16">
      <c r="A16" s="12" t="inlineStr">
        <is>
          <t>t 值</t>
        </is>
      </c>
      <c r="B16" s="13">
        <f>B14/B15</f>
        <v/>
      </c>
      <c r="C16" s="9" t="inlineStr">
        <is>
          <t>'=B14/B15</t>
        </is>
      </c>
      <c r="D16" s="10" t="inlineStr">
        <is>
          <t>bias ÷ SEM</t>
        </is>
      </c>
    </row>
    <row r="17">
      <c r="A17" s="7" t="inlineStr">
        <is>
          <t>自由度 df</t>
        </is>
      </c>
      <c r="B17" s="8">
        <f>B10-1</f>
        <v/>
      </c>
      <c r="C17" s="9" t="inlineStr">
        <is>
          <t>'=B10-1</t>
        </is>
      </c>
      <c r="D17" s="10" t="inlineStr">
        <is>
          <t>n − 1</t>
        </is>
      </c>
    </row>
    <row r="18">
      <c r="A18" s="12" t="inlineStr">
        <is>
          <t>雙尾 p 值</t>
        </is>
      </c>
      <c r="B18" s="13">
        <f>_xlfn.T.DIST.2T(ABS(B16),B17)</f>
        <v/>
      </c>
      <c r="C18" s="9" t="inlineStr">
        <is>
          <t>'=T.DIST.2T(ABS(B16),B17)</t>
        </is>
      </c>
      <c r="D18" s="10" t="inlineStr">
        <is>
          <t>t 要先取絕對值，T.DIST.2T 才是雙尾</t>
        </is>
      </c>
    </row>
    <row r="19">
      <c r="A19" s="7" t="inlineStr">
        <is>
          <t>雙尾臨界值 t(0.975,5)</t>
        </is>
      </c>
      <c r="B19" s="11">
        <f>_xlfn.T.INV.2T(0.05,B17)</f>
        <v/>
      </c>
      <c r="C19" s="9" t="inlineStr">
        <is>
          <t>'=T.INV.2T(0.05,B17)</t>
        </is>
      </c>
      <c r="D19" s="10" t="inlineStr">
        <is>
          <t>|t| 超過這個值就顯著</t>
        </is>
      </c>
    </row>
    <row r="20">
      <c r="A20" s="7" t="inlineStr">
        <is>
          <t>回收率 (%)</t>
        </is>
      </c>
      <c r="B20" s="11">
        <f>B11/B13*100</f>
        <v/>
      </c>
      <c r="C20" s="9" t="inlineStr">
        <is>
          <t>'=B11/B13*100</t>
        </is>
      </c>
      <c r="D20" s="10" t="inlineStr">
        <is>
          <t>呼應 Ch06 的真度 (trueness)</t>
        </is>
      </c>
    </row>
    <row r="22">
      <c r="A22" s="10" t="inlineStr">
        <is>
          <t>Excel 的資料分析工具箱沒有 one-sample t 檢定，只能像這樣自己拼公式；T.TEST 只能比較兩組數據。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46" customWidth="1" min="6" max="6"/>
  </cols>
  <sheetData>
    <row r="1">
      <c r="A1" s="5" t="inlineStr">
        <is>
          <t>食品</t>
        </is>
      </c>
      <c r="B1" s="5" t="inlineStr">
        <is>
          <t>凱氏法 (%)</t>
        </is>
      </c>
      <c r="C1" s="5" t="inlineStr">
        <is>
          <t>杜馬斯法 (%)</t>
        </is>
      </c>
      <c r="D1" s="5" t="inlineStr">
        <is>
          <t>差值 d=杜−凱</t>
        </is>
      </c>
    </row>
    <row r="2">
      <c r="A2" s="4" t="inlineStr">
        <is>
          <t>鮮乳</t>
        </is>
      </c>
      <c r="B2" s="6" t="n">
        <v>3.12</v>
      </c>
      <c r="C2" s="6" t="n">
        <v>3.2</v>
      </c>
      <c r="D2" s="14">
        <f>C2-B2</f>
        <v/>
      </c>
    </row>
    <row r="3">
      <c r="A3" s="4" t="inlineStr">
        <is>
          <t>優格</t>
        </is>
      </c>
      <c r="B3" s="6" t="n">
        <v>3.85</v>
      </c>
      <c r="C3" s="6" t="n">
        <v>4.07</v>
      </c>
      <c r="D3" s="14">
        <f>C3-B3</f>
        <v/>
      </c>
    </row>
    <row r="4">
      <c r="A4" s="4" t="inlineStr">
        <is>
          <t>豆漿</t>
        </is>
      </c>
      <c r="B4" s="6" t="n">
        <v>3.41</v>
      </c>
      <c r="C4" s="6" t="n">
        <v>3.37</v>
      </c>
      <c r="D4" s="14">
        <f>C4-B4</f>
        <v/>
      </c>
    </row>
    <row r="5">
      <c r="A5" s="4" t="inlineStr">
        <is>
          <t>白米</t>
        </is>
      </c>
      <c r="B5" s="6" t="n">
        <v>6.92</v>
      </c>
      <c r="C5" s="6" t="n">
        <v>7.11</v>
      </c>
      <c r="D5" s="14">
        <f>C5-B5</f>
        <v/>
      </c>
    </row>
    <row r="6">
      <c r="A6" s="4" t="inlineStr">
        <is>
          <t>麵粉</t>
        </is>
      </c>
      <c r="B6" s="6" t="n">
        <v>11.85</v>
      </c>
      <c r="C6" s="6" t="n">
        <v>11.95</v>
      </c>
      <c r="D6" s="14">
        <f>C6-B6</f>
        <v/>
      </c>
    </row>
    <row r="7">
      <c r="A7" s="4" t="inlineStr">
        <is>
          <t>雞蛋</t>
        </is>
      </c>
      <c r="B7" s="6" t="n">
        <v>12.48</v>
      </c>
      <c r="C7" s="6" t="n">
        <v>12.79</v>
      </c>
      <c r="D7" s="14">
        <f>C7-B7</f>
        <v/>
      </c>
    </row>
    <row r="8">
      <c r="A8" s="4" t="inlineStr">
        <is>
          <t>豬里肌</t>
        </is>
      </c>
      <c r="B8" s="6" t="n">
        <v>20.35</v>
      </c>
      <c r="C8" s="6" t="n">
        <v>20.37</v>
      </c>
      <c r="D8" s="14">
        <f>C8-B8</f>
        <v/>
      </c>
    </row>
    <row r="9">
      <c r="A9" s="4" t="inlineStr">
        <is>
          <t>雞胸肉</t>
        </is>
      </c>
      <c r="B9" s="6" t="n">
        <v>23.1</v>
      </c>
      <c r="C9" s="6" t="n">
        <v>23.36</v>
      </c>
      <c r="D9" s="14">
        <f>C9-B9</f>
        <v/>
      </c>
    </row>
    <row r="10">
      <c r="A10" s="4" t="inlineStr">
        <is>
          <t>黃豆粉</t>
        </is>
      </c>
      <c r="B10" s="6" t="n">
        <v>36.42</v>
      </c>
      <c r="C10" s="6" t="n">
        <v>36.65</v>
      </c>
      <c r="D10" s="14">
        <f>C10-B10</f>
        <v/>
      </c>
    </row>
    <row r="11">
      <c r="A11" s="4" t="inlineStr">
        <is>
          <t>脫脂奶粉</t>
        </is>
      </c>
      <c r="B11" s="6" t="n">
        <v>35.18</v>
      </c>
      <c r="C11" s="6" t="n">
        <v>35.3</v>
      </c>
      <c r="D11" s="14">
        <f>C11-B11</f>
        <v/>
      </c>
    </row>
    <row r="13">
      <c r="A13" s="5" t="inlineStr">
        <is>
          <t>項目</t>
        </is>
      </c>
      <c r="B13" s="5" t="inlineStr">
        <is>
          <t>結果</t>
        </is>
      </c>
      <c r="C13" s="5" t="inlineStr">
        <is>
          <t>公式</t>
        </is>
      </c>
      <c r="D13" s="5" t="inlineStr">
        <is>
          <t>白話說明</t>
        </is>
      </c>
    </row>
    <row r="14">
      <c r="A14" s="7" t="inlineStr">
        <is>
          <t>n（配對數）</t>
        </is>
      </c>
      <c r="B14" s="8">
        <f>COUNT(D2:D11)</f>
        <v/>
      </c>
      <c r="C14" s="9" t="inlineStr">
        <is>
          <t>'=COUNT(D2:D11)</t>
        </is>
      </c>
      <c r="D14" s="10" t="inlineStr">
        <is>
          <t>10 個樣品各測 2 次</t>
        </is>
      </c>
    </row>
    <row r="15">
      <c r="A15" s="7" t="inlineStr">
        <is>
          <t>平均差 d̄</t>
        </is>
      </c>
      <c r="B15" s="11">
        <f>AVERAGE(D2:D11)</f>
        <v/>
      </c>
      <c r="C15" s="9" t="inlineStr">
        <is>
          <t>'=AVERAGE(D2:D11)</t>
        </is>
      </c>
      <c r="D15" s="10" t="inlineStr">
        <is>
          <t>成對 t 其實就是對差值做 one-sample t</t>
        </is>
      </c>
    </row>
    <row r="16">
      <c r="A16" s="7" t="inlineStr">
        <is>
          <t>差值標準差 SD_d</t>
        </is>
      </c>
      <c r="B16" s="11">
        <f>_xlfn.STDEV.S(D2:D11)</f>
        <v/>
      </c>
      <c r="C16" s="9" t="inlineStr">
        <is>
          <t>'=STDEV.S(D2:D11)</t>
        </is>
      </c>
    </row>
    <row r="17">
      <c r="A17" s="7" t="inlineStr">
        <is>
          <t>標準誤 SE_d</t>
        </is>
      </c>
      <c r="B17" s="11">
        <f>B16/SQRT(B14)</f>
        <v/>
      </c>
      <c r="C17" s="9" t="inlineStr">
        <is>
          <t>'=B16/SQRT(B14)</t>
        </is>
      </c>
    </row>
    <row r="18">
      <c r="A18" s="7" t="inlineStr">
        <is>
          <t>自由度 df</t>
        </is>
      </c>
      <c r="B18" s="8">
        <f>B14-1</f>
        <v/>
      </c>
      <c r="C18" s="9" t="inlineStr">
        <is>
          <t>'=B14-1</t>
        </is>
      </c>
    </row>
    <row r="19">
      <c r="A19" s="12" t="inlineStr">
        <is>
          <t>t 值</t>
        </is>
      </c>
      <c r="B19" s="13">
        <f>B15/B17</f>
        <v/>
      </c>
      <c r="C19" s="9" t="inlineStr">
        <is>
          <t>'=B15/B17</t>
        </is>
      </c>
      <c r="D19" s="10" t="inlineStr">
        <is>
          <t>d̄ ÷ SE_d</t>
        </is>
      </c>
    </row>
    <row r="20">
      <c r="A20" s="12" t="inlineStr">
        <is>
          <t>雙尾 p 值（逐步公式版）</t>
        </is>
      </c>
      <c r="B20" s="13">
        <f>_xlfn.T.DIST.2T(ABS(B19),B18)</f>
        <v/>
      </c>
      <c r="C20" s="9" t="inlineStr">
        <is>
          <t>'=T.DIST.2T(ABS(B19),B18)</t>
        </is>
      </c>
    </row>
    <row r="21">
      <c r="A21" s="12" t="inlineStr">
        <is>
          <t>雙尾 p 值（T.TEST，type=1 成對）</t>
        </is>
      </c>
      <c r="B21" s="13">
        <f>_xlfn.T.TEST(B2:B11,C2:C11,2,1)</f>
        <v/>
      </c>
      <c r="C21" s="9" t="inlineStr">
        <is>
          <t>'=T.TEST(B2:B11,C2:C11,2,1)</t>
        </is>
      </c>
      <c r="D21" s="10" t="inlineStr">
        <is>
          <t>與上一列應該完全相同</t>
        </is>
      </c>
    </row>
    <row r="22">
      <c r="A22" s="7" t="inlineStr">
        <is>
          <t>✗ 誤用：當成兩獨立樣本（type=3）</t>
        </is>
      </c>
      <c r="B22" s="11">
        <f>_xlfn.T.TEST(B2:B11,C2:C11,2,3)</f>
        <v/>
      </c>
      <c r="C22" s="9" t="inlineStr">
        <is>
          <t>'=T.TEST(B2:B11,C2:C11,2,3)</t>
        </is>
      </c>
      <c r="D22" s="10" t="inlineStr">
        <is>
          <t>p 值變得完全不同（p≈0.98）——這就是 15.5 節的誤用示範，成對資料不能拆開比</t>
        </is>
      </c>
    </row>
    <row r="24">
      <c r="A24" s="10" t="inlineStr">
        <is>
          <t>正確：成對設計一定要用「差值」或 T.TEST(...,type=1)；把兩欄當獨立樣本會把「樣品間本來就有的大差異」誤當成誤差，嚴重低估檢定力。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A 產線總氮 (g/100 mL)</t>
        </is>
      </c>
      <c r="B1" s="5" t="inlineStr">
        <is>
          <t>B 產線總氮 (g/100 mL)</t>
        </is>
      </c>
    </row>
    <row r="2">
      <c r="A2" s="6" t="n">
        <v>1.52</v>
      </c>
      <c r="B2" s="6" t="n">
        <v>1.41</v>
      </c>
    </row>
    <row r="3">
      <c r="A3" s="6" t="n">
        <v>1.38</v>
      </c>
      <c r="B3" s="6" t="n">
        <v>1.38</v>
      </c>
    </row>
    <row r="4">
      <c r="A4" s="6" t="n">
        <v>1.61</v>
      </c>
      <c r="B4" s="6" t="n">
        <v>1.43</v>
      </c>
    </row>
    <row r="5">
      <c r="A5" s="6" t="n">
        <v>1.45</v>
      </c>
      <c r="B5" s="6" t="n">
        <v>1.39</v>
      </c>
    </row>
    <row r="6">
      <c r="B6" s="6" t="n">
        <v>1.42</v>
      </c>
    </row>
    <row r="7">
      <c r="B7" s="6" t="n">
        <v>1.37</v>
      </c>
    </row>
    <row r="8">
      <c r="B8" s="6" t="n">
        <v>1.4</v>
      </c>
    </row>
    <row r="9">
      <c r="B9" s="6" t="n">
        <v>1.44</v>
      </c>
    </row>
    <row r="10">
      <c r="B10" s="6" t="n">
        <v>1.38</v>
      </c>
    </row>
    <row r="11">
      <c r="B11" s="6" t="n">
        <v>1.41</v>
      </c>
    </row>
    <row r="13">
      <c r="A13" s="5" t="inlineStr">
        <is>
          <t>項目</t>
        </is>
      </c>
      <c r="B13" s="5" t="inlineStr">
        <is>
          <t>結果</t>
        </is>
      </c>
      <c r="C13" s="5" t="inlineStr">
        <is>
          <t>公式</t>
        </is>
      </c>
      <c r="D13" s="5" t="inlineStr">
        <is>
          <t>白話說明</t>
        </is>
      </c>
    </row>
    <row r="14">
      <c r="A14" s="7" t="inlineStr">
        <is>
          <t>n_A</t>
        </is>
      </c>
      <c r="B14" s="8">
        <f>COUNT(A2:A5)</f>
        <v/>
      </c>
      <c r="C14" s="9" t="inlineStr">
        <is>
          <t>'=COUNT(A2:A5)</t>
        </is>
      </c>
    </row>
    <row r="15">
      <c r="A15" s="7" t="inlineStr">
        <is>
          <t>n_B</t>
        </is>
      </c>
      <c r="B15" s="8">
        <f>COUNT(B2:B11)</f>
        <v/>
      </c>
      <c r="C15" s="9" t="inlineStr">
        <is>
          <t>'=COUNT(B2:B11)</t>
        </is>
      </c>
    </row>
    <row r="16">
      <c r="A16" s="7" t="inlineStr">
        <is>
          <t>平均 x̄_A</t>
        </is>
      </c>
      <c r="B16" s="11">
        <f>AVERAGE(A2:A5)</f>
        <v/>
      </c>
      <c r="C16" s="9" t="inlineStr">
        <is>
          <t>'=AVERAGE(A2:A5)</t>
        </is>
      </c>
    </row>
    <row r="17">
      <c r="A17" s="7" t="inlineStr">
        <is>
          <t>平均 x̄_B</t>
        </is>
      </c>
      <c r="B17" s="11">
        <f>AVERAGE(B2:B11)</f>
        <v/>
      </c>
      <c r="C17" s="9" t="inlineStr">
        <is>
          <t>'=AVERAGE(B2:B11)</t>
        </is>
      </c>
    </row>
    <row r="18">
      <c r="A18" s="7" t="inlineStr">
        <is>
          <t>變異數 s²_A</t>
        </is>
      </c>
      <c r="B18" s="11">
        <f>_xlfn.VAR.S(A2:A5)</f>
        <v/>
      </c>
      <c r="C18" s="9" t="inlineStr">
        <is>
          <t>'=VAR.S(A2:A5)</t>
        </is>
      </c>
    </row>
    <row r="19">
      <c r="A19" s="7" t="inlineStr">
        <is>
          <t>變異數 s²_B</t>
        </is>
      </c>
      <c r="B19" s="11">
        <f>_xlfn.VAR.S(B2:B11)</f>
        <v/>
      </c>
      <c r="C19" s="9" t="inlineStr">
        <is>
          <t>'=VAR.S(B2:B11)</t>
        </is>
      </c>
    </row>
    <row r="20">
      <c r="A20" s="7" t="inlineStr">
        <is>
          <t>s²_A / n_A</t>
        </is>
      </c>
      <c r="B20" s="11">
        <f>B18/B14</f>
        <v/>
      </c>
      <c r="C20" s="9" t="inlineStr">
        <is>
          <t>'=B18/B14</t>
        </is>
      </c>
    </row>
    <row r="21">
      <c r="A21" s="7" t="inlineStr">
        <is>
          <t>s²_B / n_B</t>
        </is>
      </c>
      <c r="B21" s="11">
        <f>B19/B15</f>
        <v/>
      </c>
      <c r="C21" s="9" t="inlineStr">
        <is>
          <t>'=B19/B15</t>
        </is>
      </c>
    </row>
    <row r="22">
      <c r="A22" s="7" t="inlineStr">
        <is>
          <t>合併標準誤 SE = √(s²_A/n_A + s²_B/n_B)</t>
        </is>
      </c>
      <c r="B22" s="11">
        <f>SQRT(B20+B21)</f>
        <v/>
      </c>
      <c r="C22" s="9" t="inlineStr">
        <is>
          <t>'=SQRT(B20+B21)</t>
        </is>
      </c>
      <c r="D22" s="10" t="inlineStr">
        <is>
          <t>兩組互相獨立，變異數要先分別除 n 再相加</t>
        </is>
      </c>
    </row>
    <row r="23">
      <c r="A23" s="7" t="inlineStr">
        <is>
          <t>平均差 x̄_A − x̄_B</t>
        </is>
      </c>
      <c r="B23" s="11">
        <f>B16-B17</f>
        <v/>
      </c>
      <c r="C23" s="9" t="inlineStr">
        <is>
          <t>'=B16-B17</t>
        </is>
      </c>
    </row>
    <row r="24">
      <c r="A24" s="12" t="inlineStr">
        <is>
          <t>Welch t 值</t>
        </is>
      </c>
      <c r="B24" s="13">
        <f>B23/B22</f>
        <v/>
      </c>
      <c r="C24" s="9" t="inlineStr">
        <is>
          <t>'=B23/B22</t>
        </is>
      </c>
    </row>
    <row r="25">
      <c r="A25" s="7" t="inlineStr">
        <is>
          <t>Welch–Satterthwaite df 分子 = (s²_A/n_A+s²_B/n_B)²</t>
        </is>
      </c>
      <c r="B25" s="11">
        <f>(B20+B21)^2</f>
        <v/>
      </c>
      <c r="C25" s="9" t="inlineStr">
        <is>
          <t>'=(B20+B21)^2</t>
        </is>
      </c>
    </row>
    <row r="26">
      <c r="A26" s="7" t="inlineStr">
        <is>
          <t>分母第一項 = (s²_A/n_A)²/(n_A−1)</t>
        </is>
      </c>
      <c r="B26" s="11">
        <f>(B20)^2/(B14-1)</f>
        <v/>
      </c>
      <c r="C26" s="9" t="inlineStr">
        <is>
          <t>'=(B20)^2/(B14-1)</t>
        </is>
      </c>
    </row>
    <row r="27">
      <c r="A27" s="7" t="inlineStr">
        <is>
          <t>分母第二項 = (s²_B/n_B)²/(n_B−1)</t>
        </is>
      </c>
      <c r="B27" s="11">
        <f>(B21)^2/(B15-1)</f>
        <v/>
      </c>
      <c r="C27" s="9" t="inlineStr">
        <is>
          <t>'=(B21)^2/(B15-1)</t>
        </is>
      </c>
    </row>
    <row r="28">
      <c r="A28" s="12" t="inlineStr">
        <is>
          <t>Welch df</t>
        </is>
      </c>
      <c r="B28" s="13">
        <f>B25/(B26+B27)</f>
        <v/>
      </c>
      <c r="C28" s="9" t="inlineStr">
        <is>
          <t>'=B25/(B26+B27)</t>
        </is>
      </c>
      <c r="D28" s="10" t="inlineStr">
        <is>
          <t>小數自由度是正常的，不是算錯</t>
        </is>
      </c>
    </row>
    <row r="29">
      <c r="A29" s="12" t="inlineStr">
        <is>
          <t>雙尾 p 值（T.TEST，type=3 Welch）</t>
        </is>
      </c>
      <c r="B29" s="13">
        <f>_xlfn.T.TEST(A2:A5,B2:B11,2,3)</f>
        <v/>
      </c>
      <c r="C29" s="9" t="inlineStr">
        <is>
          <t>'=T.TEST(A2:A5,B2:B11,2,3)</t>
        </is>
      </c>
      <c r="D29" s="10" t="inlineStr">
        <is>
          <t>T.DIST.2T 對非整數 df 會自動截斷，用 T.TEST 比較準</t>
        </is>
      </c>
    </row>
    <row r="30">
      <c r="A30" s="7" t="inlineStr">
        <is>
          <t>✗ 硬假設等變異（type=2）的 p 值</t>
        </is>
      </c>
      <c r="B30" s="11">
        <f>_xlfn.T.TEST(A2:A5,B2:B11,2,2)</f>
        <v/>
      </c>
      <c r="C30" s="9" t="inlineStr">
        <is>
          <t>'=T.TEST(A2:A5,B2:B11,2,2)</t>
        </is>
      </c>
      <c r="D30" s="10" t="inlineStr">
        <is>
          <t>結論翻盤：p 從「不顯著」變「顯著」——這正是本章強調『Welch 當預設』的原因</t>
        </is>
      </c>
    </row>
    <row r="32">
      <c r="A32" s="10" t="inlineStr">
        <is>
          <t>A、B 兩產線的變異數看起來差很多（s²_A 遠大於 s²_B），硬套等變異假設會低估真正的不確定性，讓 p 值變得過小。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資深分析員 粗脂肪 (%)</t>
        </is>
      </c>
      <c r="B1" s="5" t="inlineStr">
        <is>
          <t>新人分析員 粗脂肪 (%)</t>
        </is>
      </c>
    </row>
    <row r="2">
      <c r="A2" s="6" t="n">
        <v>14.52</v>
      </c>
      <c r="B2" s="6" t="n">
        <v>14.31</v>
      </c>
    </row>
    <row r="3">
      <c r="A3" s="6" t="n">
        <v>14.61</v>
      </c>
      <c r="B3" s="6" t="n">
        <v>14.82</v>
      </c>
    </row>
    <row r="4">
      <c r="A4" s="6" t="n">
        <v>14.48</v>
      </c>
      <c r="B4" s="6" t="n">
        <v>14.47</v>
      </c>
    </row>
    <row r="5">
      <c r="A5" s="6" t="n">
        <v>14.57</v>
      </c>
      <c r="B5" s="6" t="n">
        <v>14.95</v>
      </c>
    </row>
    <row r="6">
      <c r="A6" s="6" t="n">
        <v>14.66</v>
      </c>
      <c r="B6" s="6" t="n">
        <v>14.2</v>
      </c>
    </row>
    <row r="7">
      <c r="A7" s="6" t="n">
        <v>14.5</v>
      </c>
      <c r="B7" s="6" t="n">
        <v>14.68</v>
      </c>
    </row>
    <row r="8">
      <c r="A8" s="6" t="n">
        <v>14.59</v>
      </c>
      <c r="B8" s="6" t="n">
        <v>14.39</v>
      </c>
    </row>
    <row r="9">
      <c r="A9" s="6" t="n">
        <v>14.55</v>
      </c>
      <c r="B9" s="6" t="n">
        <v>14.77</v>
      </c>
    </row>
    <row r="11">
      <c r="A11" s="5" t="inlineStr">
        <is>
          <t>項目</t>
        </is>
      </c>
      <c r="B11" s="5" t="inlineStr">
        <is>
          <t>結果</t>
        </is>
      </c>
      <c r="C11" s="5" t="inlineStr">
        <is>
          <t>公式</t>
        </is>
      </c>
      <c r="D11" s="5" t="inlineStr">
        <is>
          <t>白話說明</t>
        </is>
      </c>
    </row>
    <row r="12">
      <c r="A12" s="7" t="inlineStr">
        <is>
          <t>SD 資深</t>
        </is>
      </c>
      <c r="B12" s="11">
        <f>_xlfn.STDEV.S(A2:A9)</f>
        <v/>
      </c>
      <c r="C12" s="9" t="inlineStr">
        <is>
          <t>'=STDEV.S(A2:A9)</t>
        </is>
      </c>
    </row>
    <row r="13">
      <c r="A13" s="7" t="inlineStr">
        <is>
          <t>SD 新人</t>
        </is>
      </c>
      <c r="B13" s="11">
        <f>_xlfn.STDEV.S(B2:B9)</f>
        <v/>
      </c>
      <c r="C13" s="9" t="inlineStr">
        <is>
          <t>'=STDEV.S(B2:B9)</t>
        </is>
      </c>
    </row>
    <row r="14">
      <c r="A14" s="7" t="inlineStr">
        <is>
          <t>變異數 資深</t>
        </is>
      </c>
      <c r="B14" s="11">
        <f>_xlfn.VAR.S(A2:A9)</f>
        <v/>
      </c>
      <c r="C14" s="9" t="inlineStr">
        <is>
          <t>'=VAR.S(A2:A9)</t>
        </is>
      </c>
    </row>
    <row r="15">
      <c r="A15" s="7" t="inlineStr">
        <is>
          <t>變異數 新人</t>
        </is>
      </c>
      <c r="B15" s="11">
        <f>_xlfn.VAR.S(B2:B9)</f>
        <v/>
      </c>
      <c r="C15" s="9" t="inlineStr">
        <is>
          <t>'=VAR.S(B2:B9)</t>
        </is>
      </c>
    </row>
    <row r="16">
      <c r="A16" s="12" t="inlineStr">
        <is>
          <t>F = 新人變異數 / 資深變異數</t>
        </is>
      </c>
      <c r="B16" s="13">
        <f>B15/B14</f>
        <v/>
      </c>
      <c r="C16" s="9" t="inlineStr">
        <is>
          <t>'=B15/B14</t>
        </is>
      </c>
      <c r="D16" s="10" t="inlineStr">
        <is>
          <t>F 檢定比的是「變異數比」，不是 SD 比</t>
        </is>
      </c>
    </row>
    <row r="17">
      <c r="A17" s="7" t="inlineStr">
        <is>
          <t>分子 df（新人）</t>
        </is>
      </c>
      <c r="B17" s="8">
        <f>COUNT(B2:B9)-1</f>
        <v/>
      </c>
      <c r="C17" s="9" t="inlineStr">
        <is>
          <t>'=COUNT(B2:B9)-1</t>
        </is>
      </c>
    </row>
    <row r="18">
      <c r="A18" s="7" t="inlineStr">
        <is>
          <t>分母 df（資深）</t>
        </is>
      </c>
      <c r="B18" s="8">
        <f>COUNT(A2:A9)-1</f>
        <v/>
      </c>
      <c r="C18" s="9" t="inlineStr">
        <is>
          <t>'=COUNT(A2:A9)-1</t>
        </is>
      </c>
    </row>
    <row r="19">
      <c r="A19" s="12" t="inlineStr">
        <is>
          <t>雙尾 p（逐步公式版）</t>
        </is>
      </c>
      <c r="B19" s="13">
        <f>2*MIN(_xlfn.F.DIST.RT(B16,B17,B18),_xlfn.F.DIST.RT(1/B16,B18,B17))</f>
        <v/>
      </c>
      <c r="C19" s="9" t="inlineStr">
        <is>
          <t>'=2*MIN(F.DIST.RT(B16,B17,B18),F.DIST.RT(1/B16,B18,B17))</t>
        </is>
      </c>
      <c r="D19" s="10" t="inlineStr">
        <is>
          <t>雙尾 = 2 × 較小的那一尾機率</t>
        </is>
      </c>
    </row>
    <row r="20">
      <c r="A20" s="12" t="inlineStr">
        <is>
          <t>雙尾 p（F.TEST 函數）</t>
        </is>
      </c>
      <c r="B20" s="13">
        <f>_xlfn.F.TEST(B2:B9,A2:A9)</f>
        <v/>
      </c>
      <c r="C20" s="9" t="inlineStr">
        <is>
          <t>'=F.TEST(B2:B9,A2:A9)</t>
        </is>
      </c>
      <c r="D20" s="10" t="inlineStr">
        <is>
          <t>應與上一列相同</t>
        </is>
      </c>
    </row>
    <row r="22">
      <c r="A22" s="10" t="inlineStr">
        <is>
          <t>F 檢定對「非常態」很敏感：兩組若其實來自同一個右偏母體，理論上只該有 5% 誤判機率，實際模擬常遠高於 5%（見 R 腳本第 7 節）。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one-sample t：平均</t>
        </is>
      </c>
      <c r="B2" s="15">
        <f>'one-sample t'!B11</f>
        <v/>
      </c>
      <c r="C2" s="15" t="n">
        <v>34.95333333</v>
      </c>
      <c r="D2" s="16">
        <f>IF(ABS(B2-C2)&lt;=0.017476666665,"✓","✗")</f>
        <v/>
      </c>
      <c r="E2" s="17" t="inlineStr">
        <is>
          <t>'one-sample t'!B11</t>
        </is>
      </c>
    </row>
    <row r="3">
      <c r="A3" s="7" t="inlineStr">
        <is>
          <t>one-sample t：SD</t>
        </is>
      </c>
      <c r="B3" s="15">
        <f>'one-sample t'!B12</f>
        <v/>
      </c>
      <c r="C3" s="15" t="n">
        <v>0.1169045194</v>
      </c>
      <c r="D3" s="16">
        <f>IF(ABS(B3-C3)&lt;=5.8452259700000005e-05,"✓","✗")</f>
        <v/>
      </c>
      <c r="E3" s="17" t="inlineStr">
        <is>
          <t>'one-sample t'!B12</t>
        </is>
      </c>
    </row>
    <row r="4">
      <c r="A4" s="7" t="inlineStr">
        <is>
          <t>one-sample t：bias</t>
        </is>
      </c>
      <c r="B4" s="15">
        <f>'one-sample t'!B14</f>
        <v/>
      </c>
      <c r="C4" s="15" t="n">
        <v>-0.1466666667</v>
      </c>
      <c r="D4" s="16">
        <f>IF(ABS(B4-C4)&lt;=7.333333335e-05,"✓","✗")</f>
        <v/>
      </c>
      <c r="E4" s="17" t="inlineStr">
        <is>
          <t>'one-sample t'!B14</t>
        </is>
      </c>
    </row>
    <row r="5">
      <c r="A5" s="7" t="inlineStr">
        <is>
          <t>one-sample t：t 值</t>
        </is>
      </c>
      <c r="B5" s="15">
        <f>'one-sample t'!B16</f>
        <v/>
      </c>
      <c r="C5" s="15" t="n">
        <v>-3.073093301</v>
      </c>
      <c r="D5" s="16">
        <f>IF(ABS(B5-C5)&lt;=0.0015365466505000002,"✓","✗")</f>
        <v/>
      </c>
      <c r="E5" s="17" t="inlineStr">
        <is>
          <t>'one-sample t'!B16</t>
        </is>
      </c>
    </row>
    <row r="6">
      <c r="A6" s="7" t="inlineStr">
        <is>
          <t>one-sample t：雙尾 p</t>
        </is>
      </c>
      <c r="B6" s="15">
        <f>'one-sample t'!B18</f>
        <v/>
      </c>
      <c r="C6" s="15" t="n">
        <v>0.02768619388</v>
      </c>
      <c r="D6" s="16">
        <f>IF(ABS(B6-C6)&lt;=1.384309694e-05,"✓","✗")</f>
        <v/>
      </c>
      <c r="E6" s="17" t="inlineStr">
        <is>
          <t>'one-sample t'!B18</t>
        </is>
      </c>
    </row>
    <row r="7">
      <c r="A7" s="7" t="inlineStr">
        <is>
          <t>one-sample t：回收率%</t>
        </is>
      </c>
      <c r="B7" s="15">
        <f>'one-sample t'!B20</f>
        <v/>
      </c>
      <c r="C7" s="15" t="n">
        <v>99.58214624999999</v>
      </c>
      <c r="D7" s="16">
        <f>IF(ABS(B7-C7)&lt;=0.049791073124999995,"✓","✗")</f>
        <v/>
      </c>
      <c r="E7" s="17" t="inlineStr">
        <is>
          <t>'one-sample t'!B20</t>
        </is>
      </c>
    </row>
    <row r="8">
      <c r="A8" s="7" t="inlineStr">
        <is>
          <t>paired t：平均差 d̄</t>
        </is>
      </c>
      <c r="B8" s="15">
        <f>'paired t'!B15</f>
        <v/>
      </c>
      <c r="C8" s="15" t="n">
        <v>0.149</v>
      </c>
      <c r="D8" s="16">
        <f>IF(ABS(B8-C8)&lt;=7.45e-05,"✓","✗")</f>
        <v/>
      </c>
      <c r="E8" s="17" t="inlineStr">
        <is>
          <t>'paired t'!B15</t>
        </is>
      </c>
    </row>
    <row r="9">
      <c r="A9" s="7" t="inlineStr">
        <is>
          <t>paired t：t 值</t>
        </is>
      </c>
      <c r="B9" s="15">
        <f>'paired t'!B19</f>
        <v/>
      </c>
      <c r="C9" s="15" t="n">
        <v>4.225828679</v>
      </c>
      <c r="D9" s="16">
        <f>IF(ABS(B9-C9)&lt;=0.0021129143395,"✓","✗")</f>
        <v/>
      </c>
      <c r="E9" s="17" t="inlineStr">
        <is>
          <t>'paired t'!B19</t>
        </is>
      </c>
    </row>
    <row r="10">
      <c r="A10" s="7" t="inlineStr">
        <is>
          <t>paired t：T.TEST(type=1) p</t>
        </is>
      </c>
      <c r="B10" s="15">
        <f>'paired t'!B21</f>
        <v/>
      </c>
      <c r="C10" s="15" t="n">
        <v>0.002220247911</v>
      </c>
      <c r="D10" s="16">
        <f>IF(ABS(B10-C10)&lt;=1.1101239555e-06,"✓","✗")</f>
        <v/>
      </c>
      <c r="E10" s="17" t="inlineStr">
        <is>
          <t>'paired t'!B21</t>
        </is>
      </c>
    </row>
    <row r="11">
      <c r="A11" s="7" t="inlineStr">
        <is>
          <t>paired t：誤用 type=3 p</t>
        </is>
      </c>
      <c r="B11" s="15">
        <f>'paired t'!B22</f>
        <v/>
      </c>
      <c r="C11" s="15" t="n">
        <v>0.9792777325000001</v>
      </c>
      <c r="D11" s="16">
        <f>IF(ABS(B11-C11)&lt;=0.00048963886625,"✓","✗")</f>
        <v/>
      </c>
      <c r="E11" s="17" t="inlineStr">
        <is>
          <t>'paired t'!B22</t>
        </is>
      </c>
    </row>
    <row r="12">
      <c r="A12" s="7" t="inlineStr">
        <is>
          <t>Welch t：t 值</t>
        </is>
      </c>
      <c r="B12" s="15">
        <f>'Welch t'!B24</f>
        <v/>
      </c>
      <c r="C12" s="15" t="n">
        <v>1.750495538</v>
      </c>
      <c r="D12" s="16">
        <f>IF(ABS(B12-C12)&lt;=0.0008752477690000001,"✓","✗")</f>
        <v/>
      </c>
      <c r="E12" s="17" t="inlineStr">
        <is>
          <t>'Welch t'!B24</t>
        </is>
      </c>
    </row>
    <row r="13">
      <c r="A13" s="7" t="inlineStr">
        <is>
          <t>Welch t：df</t>
        </is>
      </c>
      <c r="B13" s="15">
        <f>'Welch t'!B28</f>
        <v/>
      </c>
      <c r="C13" s="15" t="n">
        <v>3.133646009</v>
      </c>
      <c r="D13" s="16">
        <f>IF(ABS(B13-C13)&lt;=0.0015668230045,"✓","✗")</f>
        <v/>
      </c>
      <c r="E13" s="17" t="inlineStr">
        <is>
          <t>'Welch t'!B28</t>
        </is>
      </c>
    </row>
    <row r="14">
      <c r="A14" s="7" t="inlineStr">
        <is>
          <t>Welch t：T.TEST(type=3) p</t>
        </is>
      </c>
      <c r="B14" s="15">
        <f>'Welch t'!B29</f>
        <v/>
      </c>
      <c r="C14" s="15" t="n">
        <v>0.1744118509</v>
      </c>
      <c r="D14" s="16">
        <f>IF(ABS(B14-C14)&lt;=8.720592545e-05,"✓","✗")</f>
        <v/>
      </c>
      <c r="E14" s="17" t="inlineStr">
        <is>
          <t>'Welch t'!B29</t>
        </is>
      </c>
    </row>
    <row r="15">
      <c r="A15" s="7" t="inlineStr">
        <is>
          <t>Welch t：誤用 type=2 p</t>
        </is>
      </c>
      <c r="B15" s="15">
        <f>'Welch t'!B30</f>
        <v/>
      </c>
      <c r="C15" s="15" t="n">
        <v>0.01694716946</v>
      </c>
      <c r="D15" s="16">
        <f>IF(ABS(B15-C15)&lt;=8.473584730000002e-06,"✓","✗")</f>
        <v/>
      </c>
      <c r="E15" s="17" t="inlineStr">
        <is>
          <t>'Welch t'!B30</t>
        </is>
      </c>
    </row>
    <row r="16">
      <c r="A16" s="7" t="inlineStr">
        <is>
          <t>F 檢定：F 值</t>
        </is>
      </c>
      <c r="B16" s="15">
        <f>'F檢定'!B16</f>
        <v/>
      </c>
      <c r="C16" s="15" t="n">
        <v>20.07093254</v>
      </c>
      <c r="D16" s="16">
        <f>IF(ABS(B16-C16)&lt;=0.010035466270000001,"✓","✗")</f>
        <v/>
      </c>
      <c r="E16" s="17" t="inlineStr">
        <is>
          <t>'F檢定'!B16</t>
        </is>
      </c>
    </row>
    <row r="17">
      <c r="A17" s="7" t="inlineStr">
        <is>
          <t>F 檢定：F.TEST p</t>
        </is>
      </c>
      <c r="B17" s="15">
        <f>'F檢定'!B20</f>
        <v/>
      </c>
      <c r="C17" s="15" t="n">
        <v>0.0007897245359000001</v>
      </c>
      <c r="D17" s="16">
        <f>IF(ABS(B17-C17)&lt;=3.9486226795e-07,"✓","✗")</f>
        <v/>
      </c>
      <c r="E17" s="17" t="inlineStr">
        <is>
          <t>'F檢定'!B20</t>
        </is>
      </c>
    </row>
    <row r="19">
      <c r="A19" s="10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