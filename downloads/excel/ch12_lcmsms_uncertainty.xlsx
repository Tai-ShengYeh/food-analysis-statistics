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Matuszewski基質效應" sheetId="2" state="visible" r:id="rId2"/>
    <sheet xmlns:r="http://schemas.openxmlformats.org/officeDocument/2006/relationships" name="加權迴歸1x" sheetId="3" state="visible" r:id="rId3"/>
    <sheet xmlns:r="http://schemas.openxmlformats.org/officeDocument/2006/relationships" name="不確定度預算與符合性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000"/>
    <numFmt numFmtId="166" formatCode="0.000000"/>
    <numFmt numFmtId="167" formatCode="0.0"/>
    <numFmt numFmtId="168" formatCode="0.00000"/>
    <numFmt numFmtId="169" formatCode="0.0%"/>
  </numFmts>
  <fonts count="12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0F4C81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sz val="11"/>
    </font>
    <font>
      <name val="Microsoft JhengHei"/>
      <b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1" fontId="7" fillId="3" borderId="1" pivotButton="0" quotePrefix="0" xfId="0"/>
    <xf numFmtId="0" fontId="7" fillId="0" borderId="1" pivotButton="0" quotePrefix="0" xfId="0"/>
    <xf numFmtId="1" fontId="7" fillId="0" borderId="1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0" borderId="1" pivotButton="0" quotePrefix="0" xfId="0"/>
    <xf numFmtId="164" fontId="9" fillId="4" borderId="1" pivotButton="0" quotePrefix="0" xfId="0"/>
    <xf numFmtId="164" fontId="7" fillId="3" borderId="1" pivotButton="0" quotePrefix="0" xfId="0"/>
    <xf numFmtId="0" fontId="10" fillId="0" borderId="0" applyAlignment="1" pivotButton="0" quotePrefix="0" xfId="0">
      <alignment vertical="top" wrapText="1"/>
    </xf>
    <xf numFmtId="2" fontId="7" fillId="3" borderId="1" pivotButton="0" quotePrefix="0" xfId="0"/>
    <xf numFmtId="165" fontId="7" fillId="3" borderId="1" pivotButton="0" quotePrefix="0" xfId="0"/>
    <xf numFmtId="2" fontId="0" fillId="0" borderId="1" pivotButton="0" quotePrefix="0" xfId="0"/>
    <xf numFmtId="166" fontId="9" fillId="4" borderId="1" pivotButton="0" quotePrefix="0" xfId="0"/>
    <xf numFmtId="165" fontId="7" fillId="0" borderId="1" pivotButton="0" quotePrefix="0" xfId="0"/>
    <xf numFmtId="2" fontId="7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8" fontId="7" fillId="0" borderId="1" pivotButton="0" quotePrefix="0" xfId="0"/>
    <xf numFmtId="168" fontId="9" fillId="4" borderId="1" pivotButton="0" quotePrefix="0" xfId="0"/>
    <xf numFmtId="0" fontId="11" fillId="0" borderId="0" applyAlignment="1" pivotButton="0" quotePrefix="0" xfId="0">
      <alignment vertical="top" wrapText="1"/>
    </xf>
    <xf numFmtId="168" fontId="0" fillId="0" borderId="1" pivotButton="0" quotePrefix="0" xfId="0"/>
    <xf numFmtId="164" fontId="7" fillId="0" borderId="1" pivotButton="0" quotePrefix="0" xfId="0"/>
    <xf numFmtId="167" fontId="7" fillId="0" borderId="1" pivotButton="0" quotePrefix="0" xfId="0"/>
    <xf numFmtId="49" fontId="9" fillId="4" borderId="1" pivotButton="0" quotePrefix="0" xfId="0"/>
    <xf numFmtId="1" fontId="0" fillId="0" borderId="1" pivotButton="0" quotePrefix="0" xfId="0"/>
    <xf numFmtId="169" fontId="7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Ch12 進階案例：LC-MS/MS 基質效應、SIL-IS 與 1/x 加權校正的不確定度</t>
        </is>
      </c>
    </row>
    <row r="2">
      <c r="A2" s="2" t="inlineStr">
        <is>
          <t>對應網頁：ch12.html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以蝦仁中氯黴素（LC-MS/MS，MRPL=0.3 μg/kg）為例，重現三個 LC-MS/MS 特有的統計工具：</t>
        </is>
      </c>
    </row>
    <row r="6">
      <c r="A6" s="4" t="inlineStr">
        <is>
          <t>①Matuszewski 三組實驗（ME%基質效應／RE%萃取回收／PE%流程效率，都用 SLOPE 算斜率再相除）</t>
        </is>
      </c>
    </row>
    <row r="7">
      <c r="A7" s="4" t="inlineStr">
        <is>
          <t>②同位素內標（SIL-IS）面積比校正——同樣的三個指標，比較補償前後的差異</t>
        </is>
      </c>
    </row>
    <row r="8">
      <c r="A8" s="4" t="inlineStr">
        <is>
          <t>③1/x 加權迴歸——痕量分析必備，用 SUMPRODUCT 手刻加權最小平方公式（Excel 沒有內建加權迴歸）</t>
        </is>
      </c>
    </row>
    <row r="9">
      <c r="A9" s="4" t="inlineStr">
        <is>
          <t>最後一張工作表把四個不確定度成分（中間精密度／均勻性／校正殘餘／回收率）合成，並做限量符合性判定。</t>
        </is>
      </c>
    </row>
    <row r="10">
      <c r="A10" s="3" t="inlineStr">
        <is>
          <t>怎麼用</t>
        </is>
      </c>
    </row>
    <row r="11">
      <c r="A11" s="4" t="inlineStr">
        <is>
          <t>1. 黃色是可以改的數據；改了以後所有公式自動重算。</t>
        </is>
      </c>
    </row>
    <row r="12">
      <c r="A12" s="4" t="inlineStr">
        <is>
          <t>2.「Matuszewski基質效應」工作表的 x、y 數據是本活頁簿設計的示範數據（零截距直線），斜率設計成與 R 案例的 45200/38400/34600 完全一致——這樣你可以用 Excel 的 SLOPE() practice 算斜率比值，效果與 R 一樣。</t>
        </is>
      </c>
    </row>
    <row r="13">
      <c r="A13" s="4" t="inlineStr">
        <is>
          <t>3.「加權迴歸1x」工作表可以比較 OLS 與 1/x 加權在低濃度的回算誤差差多大。</t>
        </is>
      </c>
    </row>
    <row r="14">
      <c r="A14" s="4" t="inlineStr">
        <is>
          <t>4.「不確定度預算與符合性」工作表最下面有一張 Monte Carlo 示範表——按 F9 重算會變動，不列入核對。</t>
        </is>
      </c>
    </row>
    <row r="15">
      <c r="A15" s="3" t="inlineStr">
        <is>
          <t>兩個最重要的觀念</t>
        </is>
      </c>
    </row>
    <row r="16">
      <c r="A16" s="4" t="inlineStr">
        <is>
          <t>① ME%＝(斜率B/斜率A −1)×100 是「電離效率」被基質壓制的程度；RE%＝(斜率C/斜率B −1)×100 才是「萃取回收」——兩者容易搞混，分子分母的順序決定看到的是哪一段流程。</t>
        </is>
      </c>
    </row>
    <row r="17">
      <c r="A17" s="4" t="inlineStr">
        <is>
          <t>② 1/x 加權不是「加重高濃度點」，而是「讓低濃度點的份量不被高濃度的大誤差蓋過」；痕量分析（誤差與濃度成正比）幾乎都要加權，否則低濃度端會嚴重偏倚。</t>
        </is>
      </c>
    </row>
    <row r="18">
      <c r="A18" s="3" t="inlineStr">
        <is>
          <t>本章沒有對應的資料分析工具箱功能</t>
        </is>
      </c>
    </row>
    <row r="19">
      <c r="A19" s="4" t="inlineStr">
        <is>
          <t>SLOPE() 本身可以對照工具箱的『迴歸』分析（斜率＝迴歸係數），但 Matuszewski 比值、1/x 加權迴歸、不確定度預算都是逐項代公式，工具箱做不到，本章一律用一般函數現場計算。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示範數據：濃度 x 與三組校正線的波峰面積 y（零截距，斜率＝R 案例的值）</t>
        </is>
      </c>
    </row>
    <row r="2">
      <c r="A2" s="6" t="inlineStr">
        <is>
          <t>濃度 x (相對單位)</t>
        </is>
      </c>
      <c r="B2" s="6" t="inlineStr">
        <is>
          <t>yA 溶液標準</t>
        </is>
      </c>
      <c r="C2" s="6" t="inlineStr">
        <is>
          <t>yB 萃取後添加</t>
        </is>
      </c>
      <c r="D2" s="6" t="inlineStr">
        <is>
          <t>yC 添加後萃取</t>
        </is>
      </c>
    </row>
    <row r="3">
      <c r="A3" s="7" t="n">
        <v>0</v>
      </c>
      <c r="B3" s="7" t="n">
        <v>0</v>
      </c>
      <c r="C3" s="7" t="n">
        <v>0</v>
      </c>
      <c r="D3" s="7" t="n">
        <v>0</v>
      </c>
    </row>
    <row r="4">
      <c r="A4" s="7" t="n">
        <v>2</v>
      </c>
      <c r="B4" s="7" t="n">
        <v>90400</v>
      </c>
      <c r="C4" s="7" t="n">
        <v>76800</v>
      </c>
      <c r="D4" s="7" t="n">
        <v>69200</v>
      </c>
    </row>
    <row r="5">
      <c r="A5" s="7" t="n">
        <v>5</v>
      </c>
      <c r="B5" s="7" t="n">
        <v>226000</v>
      </c>
      <c r="C5" s="7" t="n">
        <v>192000</v>
      </c>
      <c r="D5" s="7" t="n">
        <v>173000</v>
      </c>
    </row>
    <row r="6">
      <c r="A6" s="7" t="n">
        <v>10</v>
      </c>
      <c r="B6" s="7" t="n">
        <v>452000</v>
      </c>
      <c r="C6" s="7" t="n">
        <v>384000</v>
      </c>
      <c r="D6" s="7" t="n">
        <v>346000</v>
      </c>
    </row>
    <row r="7">
      <c r="A7" s="7" t="n">
        <v>20</v>
      </c>
      <c r="B7" s="7" t="n">
        <v>904000</v>
      </c>
      <c r="C7" s="7" t="n">
        <v>768000</v>
      </c>
      <c r="D7" s="7" t="n">
        <v>692000</v>
      </c>
    </row>
    <row r="9">
      <c r="A9" s="6" t="inlineStr">
        <is>
          <t>項目</t>
        </is>
      </c>
      <c r="B9" s="6" t="inlineStr">
        <is>
          <t>結果</t>
        </is>
      </c>
      <c r="C9" s="6" t="inlineStr">
        <is>
          <t>公式</t>
        </is>
      </c>
      <c r="D9" s="6" t="inlineStr">
        <is>
          <t>說明</t>
        </is>
      </c>
    </row>
    <row r="10">
      <c r="A10" s="8" t="inlineStr">
        <is>
          <t>斜率 A（溶液標準）</t>
        </is>
      </c>
      <c r="B10" s="9">
        <f>SLOPE(B3:B7,A3:A7)</f>
        <v/>
      </c>
      <c r="C10" s="10" t="inlineStr">
        <is>
          <t>'=SLOPE(B3:B7,A3:A7)</t>
        </is>
      </c>
      <c r="D10" s="11" t="inlineStr">
        <is>
          <t>理想電離效率</t>
        </is>
      </c>
    </row>
    <row r="11">
      <c r="A11" s="8" t="inlineStr">
        <is>
          <t>斜率 B（萃取後添加）</t>
        </is>
      </c>
      <c r="B11" s="9">
        <f>SLOPE(C3:C7,A3:A7)</f>
        <v/>
      </c>
      <c r="C11" s="10" t="inlineStr">
        <is>
          <t>'=SLOPE(C3:C7,A3:A7)</t>
        </is>
      </c>
      <c r="D11" s="11" t="inlineStr">
        <is>
          <t>純電離表現（沒有萃取步驟）</t>
        </is>
      </c>
    </row>
    <row r="12">
      <c r="A12" s="8" t="inlineStr">
        <is>
          <t>斜率 C（添加後萃取）</t>
        </is>
      </c>
      <c r="B12" s="9">
        <f>SLOPE(D3:D7,A3:A7)</f>
        <v/>
      </c>
      <c r="C12" s="10" t="inlineStr">
        <is>
          <t>'=SLOPE(D3:D7,A3:A7)</t>
        </is>
      </c>
      <c r="D12" s="11" t="inlineStr">
        <is>
          <t>電離+萃取損失（像真樣品）</t>
        </is>
      </c>
    </row>
    <row r="13">
      <c r="A13" s="12" t="inlineStr">
        <is>
          <t>ME%：基質效應</t>
        </is>
      </c>
      <c r="B13" s="13">
        <f>(B11/B10-1)*100</f>
        <v/>
      </c>
      <c r="C13" s="10" t="inlineStr">
        <is>
          <t>'=(B11/B10-1)*100</t>
        </is>
      </c>
      <c r="D13" s="11" t="inlineStr">
        <is>
          <t>(B/A−1)×100，負值＝離子壓制</t>
        </is>
      </c>
    </row>
    <row r="14">
      <c r="A14" s="12" t="inlineStr">
        <is>
          <t>RE%：萃取回收</t>
        </is>
      </c>
      <c r="B14" s="13">
        <f>(B12/B11-1)*100</f>
        <v/>
      </c>
      <c r="C14" s="10" t="inlineStr">
        <is>
          <t>'=(B12/B11-1)*100</t>
        </is>
      </c>
      <c r="D14" s="11" t="inlineStr">
        <is>
          <t>(C/B−1)×100</t>
        </is>
      </c>
    </row>
    <row r="15">
      <c r="A15" s="12" t="inlineStr">
        <is>
          <t>PE%：流程效率</t>
        </is>
      </c>
      <c r="B15" s="13">
        <f>(B12/B10-1)*100</f>
        <v/>
      </c>
      <c r="C15" s="10" t="inlineStr">
        <is>
          <t>'=(B12/B10-1)*100</t>
        </is>
      </c>
      <c r="D15" s="11" t="inlineStr">
        <is>
          <t>(C/A−1)×100，整體流程效率</t>
        </is>
      </c>
    </row>
    <row r="17">
      <c r="A17" s="3" t="inlineStr">
        <is>
          <t>同位素內標（SIL-IS）面積比校正後，重跑三組實驗</t>
        </is>
      </c>
    </row>
    <row r="18">
      <c r="A18" s="6" t="inlineStr">
        <is>
          <t>項目</t>
        </is>
      </c>
      <c r="B18" s="6" t="inlineStr">
        <is>
          <t>結果</t>
        </is>
      </c>
      <c r="C18" s="6" t="inlineStr">
        <is>
          <t>公式</t>
        </is>
      </c>
      <c r="D18" s="6" t="inlineStr">
        <is>
          <t>說明</t>
        </is>
      </c>
    </row>
    <row r="19">
      <c r="A19" s="8" t="inlineStr">
        <is>
          <t>面積比斜率 A_IS（溶液標準）</t>
        </is>
      </c>
      <c r="B19" s="14" t="n">
        <v>1.02</v>
      </c>
      <c r="D19" s="11" t="inlineStr">
        <is>
          <t>分析物/內標 面積比</t>
        </is>
      </c>
    </row>
    <row r="20">
      <c r="A20" s="8" t="inlineStr">
        <is>
          <t>面積比斜率 B_IS（萃取後添加）</t>
        </is>
      </c>
      <c r="B20" s="14" t="n">
        <v>0.98</v>
      </c>
    </row>
    <row r="21">
      <c r="A21" s="8" t="inlineStr">
        <is>
          <t>面積比斜率 C_IS（添加後萃取）</t>
        </is>
      </c>
      <c r="B21" s="14" t="n">
        <v>0.972</v>
      </c>
    </row>
    <row r="22">
      <c r="A22" s="12" t="inlineStr">
        <is>
          <t>ME%_IS（補償後）</t>
        </is>
      </c>
      <c r="B22" s="13">
        <f>(B20/B19-1)*100</f>
        <v/>
      </c>
      <c r="C22" s="10" t="inlineStr">
        <is>
          <t>'=(B20/B19-1)*100</t>
        </is>
      </c>
      <c r="D22" s="11" t="inlineStr">
        <is>
          <t>從 −15.0% 縮到這個值</t>
        </is>
      </c>
    </row>
    <row r="23">
      <c r="A23" s="12" t="inlineStr">
        <is>
          <t>RE%_IS（補償後）</t>
        </is>
      </c>
      <c r="B23" s="13">
        <f>(B21/B20-1)*100</f>
        <v/>
      </c>
      <c r="C23" s="10" t="inlineStr">
        <is>
          <t>'=(B21/B20-1)*100</t>
        </is>
      </c>
      <c r="D23" s="11" t="inlineStr">
        <is>
          <t>從 −9.9% 縮到這個值</t>
        </is>
      </c>
    </row>
    <row r="25">
      <c r="A25" s="15" t="inlineStr">
        <is>
          <t>殘餘基質效應（本例估 0.08）計入下一張工作表的不確定度預算「校正＋基質殘餘」項。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>
      <c r="A1" s="3" t="inlineStr">
        <is>
          <t>校正數據（與 R 檔 set.seed(11) 完全相同的教材數據）</t>
        </is>
      </c>
    </row>
    <row r="2">
      <c r="A2" s="6" t="inlineStr">
        <is>
          <t>濃度 conc (μg/kg)</t>
        </is>
      </c>
      <c r="B2" s="6" t="inlineStr">
        <is>
          <t>面積比 ratio</t>
        </is>
      </c>
      <c r="C2" s="6" t="inlineStr">
        <is>
          <t>權重 w=1/conc</t>
        </is>
      </c>
    </row>
    <row r="3">
      <c r="A3" s="16" t="n">
        <v>0.02</v>
      </c>
      <c r="B3" s="17" t="n">
        <v>0.0393283116</v>
      </c>
      <c r="C3" s="18">
        <f>1/A3</f>
        <v/>
      </c>
    </row>
    <row r="4">
      <c r="A4" s="16" t="n">
        <v>0.05</v>
      </c>
      <c r="B4" s="17" t="n">
        <v>0.1011189336</v>
      </c>
      <c r="C4" s="18">
        <f>1/A4</f>
        <v/>
      </c>
    </row>
    <row r="5">
      <c r="A5" s="16" t="n">
        <v>0.1</v>
      </c>
      <c r="B5" s="17" t="n">
        <v>0.191408476</v>
      </c>
      <c r="C5" s="18">
        <f>1/A5</f>
        <v/>
      </c>
    </row>
    <row r="6">
      <c r="A6" s="16" t="n">
        <v>0.2</v>
      </c>
      <c r="B6" s="17" t="n">
        <v>0.3888120579</v>
      </c>
      <c r="C6" s="18">
        <f>1/A6</f>
        <v/>
      </c>
    </row>
    <row r="7">
      <c r="A7" s="16" t="n">
        <v>0.5</v>
      </c>
      <c r="B7" s="17" t="n">
        <v>1.0176663535</v>
      </c>
      <c r="C7" s="18">
        <f>1/A7</f>
        <v/>
      </c>
    </row>
    <row r="9">
      <c r="A9" s="5" t="inlineStr">
        <is>
          <t>① 一般最小平方 OLS</t>
        </is>
      </c>
    </row>
    <row r="10">
      <c r="A10" s="6" t="inlineStr">
        <is>
          <t>項目</t>
        </is>
      </c>
      <c r="B10" s="6" t="inlineStr">
        <is>
          <t>結果</t>
        </is>
      </c>
      <c r="C10" s="6" t="inlineStr">
        <is>
          <t>公式</t>
        </is>
      </c>
      <c r="D10" s="6" t="inlineStr">
        <is>
          <t>說明</t>
        </is>
      </c>
    </row>
    <row r="11">
      <c r="A11" s="12" t="inlineStr">
        <is>
          <t>b1_OLS：斜率</t>
        </is>
      </c>
      <c r="B11" s="19">
        <f>SLOPE(B3:B7,A3:A7)</f>
        <v/>
      </c>
      <c r="C11" s="10" t="inlineStr">
        <is>
          <t>'=SLOPE(B3:B7,A3:A7)</t>
        </is>
      </c>
    </row>
    <row r="12">
      <c r="A12" s="12" t="inlineStr">
        <is>
          <t>b0_OLS：截距</t>
        </is>
      </c>
      <c r="B12" s="19">
        <f>INTERCEPT(B3:B7,A3:A7)</f>
        <v/>
      </c>
      <c r="C12" s="10" t="inlineStr">
        <is>
          <t>'=INTERCEPT(B3:B7,A3:A7)</t>
        </is>
      </c>
    </row>
    <row r="14">
      <c r="A14" s="5" t="inlineStr">
        <is>
          <t>② 1/x 加權迴歸（手刻加權最小平方，全部用 SUMPRODUCT）</t>
        </is>
      </c>
    </row>
    <row r="15">
      <c r="A15" s="6" t="inlineStr">
        <is>
          <t>項目</t>
        </is>
      </c>
      <c r="B15" s="6" t="inlineStr">
        <is>
          <t>結果</t>
        </is>
      </c>
      <c r="C15" s="6" t="inlineStr">
        <is>
          <t>公式</t>
        </is>
      </c>
      <c r="D15" s="6" t="inlineStr">
        <is>
          <t>說明</t>
        </is>
      </c>
    </row>
    <row r="16">
      <c r="A16" s="8" t="inlineStr">
        <is>
          <t>x̄_w：加權平均濃度</t>
        </is>
      </c>
      <c r="B16" s="20">
        <f>SUMPRODUCT(C3:C7,A3:A7)/SUM(C3:C7)</f>
        <v/>
      </c>
      <c r="C16" s="10" t="inlineStr">
        <is>
          <t>'=SUMPRODUCT(C3:C7,A3:A7)/SUM(C3:C7)</t>
        </is>
      </c>
      <c r="D16" s="11" t="inlineStr">
        <is>
          <t>Σ(w·x)/Σw</t>
        </is>
      </c>
    </row>
    <row r="17">
      <c r="A17" s="8" t="inlineStr">
        <is>
          <t>ȳ_w：加權平均面積比</t>
        </is>
      </c>
      <c r="B17" s="20">
        <f>SUMPRODUCT(C3:C7,B3:B7)/SUM(C3:C7)</f>
        <v/>
      </c>
      <c r="C17" s="10" t="inlineStr">
        <is>
          <t>'=SUMPRODUCT(C3:C7,B3:B7)/SUM(C3:C7)</t>
        </is>
      </c>
      <c r="D17" s="11" t="inlineStr">
        <is>
          <t>Σ(w·y)/Σw</t>
        </is>
      </c>
    </row>
    <row r="18">
      <c r="A18" s="8" t="inlineStr">
        <is>
          <t>S_xy,w：加權交乘和</t>
        </is>
      </c>
      <c r="B18" s="20">
        <f>SUMPRODUCT(C3:C7,(A3:A7-B16),(B3:B7-B17))</f>
        <v/>
      </c>
      <c r="C18" s="10" t="inlineStr">
        <is>
          <t>'=SUMPRODUCT(C3:C7,(A3:A7-B16),(B3:B7-B17))</t>
        </is>
      </c>
      <c r="D18" s="11" t="inlineStr">
        <is>
          <t>Σw(x−x̄_w)(y−ȳ_w)——SUMPRODUCT 可以直接吃陣列運算，不用 Ctrl+Shift+Enter</t>
        </is>
      </c>
    </row>
    <row r="19">
      <c r="A19" s="8" t="inlineStr">
        <is>
          <t>S_xx,w：加權平方和</t>
        </is>
      </c>
      <c r="B19" s="20">
        <f>SUMPRODUCT(C3:C7,(A3:A7-B16)^2)</f>
        <v/>
      </c>
      <c r="C19" s="10" t="inlineStr">
        <is>
          <t>'=SUMPRODUCT(C3:C7,(A3:A7-B16)^2)</t>
        </is>
      </c>
      <c r="D19" s="11" t="inlineStr">
        <is>
          <t>Σw(x−x̄_w)²</t>
        </is>
      </c>
    </row>
    <row r="20">
      <c r="A20" s="12" t="inlineStr">
        <is>
          <t>b1_w：加權斜率</t>
        </is>
      </c>
      <c r="B20" s="19">
        <f>B18/B19</f>
        <v/>
      </c>
      <c r="C20" s="10" t="inlineStr">
        <is>
          <t>'=B18/B19</t>
        </is>
      </c>
      <c r="D20" s="11" t="inlineStr">
        <is>
          <t>S_xy,w / S_xx,w</t>
        </is>
      </c>
    </row>
    <row r="21">
      <c r="A21" s="12" t="inlineStr">
        <is>
          <t>b0_w：加權截距</t>
        </is>
      </c>
      <c r="B21" s="19">
        <f>B17-B20*B16</f>
        <v/>
      </c>
      <c r="C21" s="10" t="inlineStr">
        <is>
          <t>'=B17-B20*B16</t>
        </is>
      </c>
      <c r="D21" s="11" t="inlineStr">
        <is>
          <t>ȳ_w − b1_w·x̄_w</t>
        </is>
      </c>
    </row>
    <row r="23">
      <c r="A23" s="5" t="inlineStr">
        <is>
          <t>③ 回算比較表（哪個方法在低濃度偏得少？）</t>
        </is>
      </c>
    </row>
    <row r="24">
      <c r="A24" s="6" t="inlineStr">
        <is>
          <t>名義濃度</t>
        </is>
      </c>
      <c r="B24" s="6" t="inlineStr">
        <is>
          <t>找回濃度_OLS</t>
        </is>
      </c>
      <c r="C24" s="6" t="inlineStr">
        <is>
          <t>OLS回算誤差%</t>
        </is>
      </c>
      <c r="D24" s="6" t="inlineStr">
        <is>
          <t>找回濃度_加權</t>
        </is>
      </c>
      <c r="E24" s="6" t="inlineStr">
        <is>
          <t>加權回算誤差%</t>
        </is>
      </c>
    </row>
    <row r="25">
      <c r="A25" s="21">
        <f>A3</f>
        <v/>
      </c>
      <c r="B25" s="22">
        <f>(B3-B12)/B11</f>
        <v/>
      </c>
      <c r="C25" s="23">
        <f>(B25/A25-1)*100</f>
        <v/>
      </c>
      <c r="D25" s="22">
        <f>(B3-B21)/B20</f>
        <v/>
      </c>
      <c r="E25" s="23">
        <f>(D25/A25-1)*100</f>
        <v/>
      </c>
    </row>
    <row r="26">
      <c r="A26" s="21">
        <f>A4</f>
        <v/>
      </c>
      <c r="B26" s="22">
        <f>(B4-B12)/B11</f>
        <v/>
      </c>
      <c r="C26" s="23">
        <f>(B26/A26-1)*100</f>
        <v/>
      </c>
      <c r="D26" s="22">
        <f>(B4-B21)/B20</f>
        <v/>
      </c>
      <c r="E26" s="23">
        <f>(D26/A26-1)*100</f>
        <v/>
      </c>
    </row>
    <row r="27">
      <c r="A27" s="21">
        <f>A5</f>
        <v/>
      </c>
      <c r="B27" s="22">
        <f>(B5-B12)/B11</f>
        <v/>
      </c>
      <c r="C27" s="23">
        <f>(B27/A27-1)*100</f>
        <v/>
      </c>
      <c r="D27" s="22">
        <f>(B5-B21)/B20</f>
        <v/>
      </c>
      <c r="E27" s="23">
        <f>(D27/A27-1)*100</f>
        <v/>
      </c>
    </row>
    <row r="28">
      <c r="A28" s="21">
        <f>A6</f>
        <v/>
      </c>
      <c r="B28" s="22">
        <f>(B6-B12)/B11</f>
        <v/>
      </c>
      <c r="C28" s="23">
        <f>(B28/A28-1)*100</f>
        <v/>
      </c>
      <c r="D28" s="22">
        <f>(B6-B21)/B20</f>
        <v/>
      </c>
      <c r="E28" s="23">
        <f>(D28/A28-1)*100</f>
        <v/>
      </c>
    </row>
    <row r="29">
      <c r="A29" s="21">
        <f>A7</f>
        <v/>
      </c>
      <c r="B29" s="22">
        <f>(B7-B12)/B11</f>
        <v/>
      </c>
      <c r="C29" s="23">
        <f>(B29/A29-1)*100</f>
        <v/>
      </c>
      <c r="D29" s="22">
        <f>(B7-B21)/B20</f>
        <v/>
      </c>
      <c r="E29" s="23">
        <f>(D29/A29-1)*100</f>
        <v/>
      </c>
    </row>
    <row r="31">
      <c r="A31" s="5" t="inlineStr">
        <is>
          <t>④ 未知樣品反推（面積比 0.0405）</t>
        </is>
      </c>
    </row>
    <row r="32">
      <c r="A32" s="6" t="inlineStr">
        <is>
          <t>項目</t>
        </is>
      </c>
      <c r="B32" s="6" t="inlineStr">
        <is>
          <t>結果</t>
        </is>
      </c>
      <c r="C32" s="6" t="inlineStr">
        <is>
          <t>公式</t>
        </is>
      </c>
      <c r="D32" s="6" t="inlineStr">
        <is>
          <t>說明</t>
        </is>
      </c>
    </row>
    <row r="33">
      <c r="A33" s="8" t="inlineStr">
        <is>
          <t>未知樣品面積比 y_obs</t>
        </is>
      </c>
      <c r="B33" s="14" t="n">
        <v>0.0405</v>
      </c>
    </row>
    <row r="34">
      <c r="A34" s="8" t="inlineStr">
        <is>
          <t>反推濃度（OLS）</t>
        </is>
      </c>
      <c r="B34" s="24">
        <f>(B33-B12)/B11</f>
        <v/>
      </c>
      <c r="C34" s="10" t="inlineStr">
        <is>
          <t>'=(B33-B12)/B11</t>
        </is>
      </c>
    </row>
    <row r="35">
      <c r="A35" s="12" t="inlineStr">
        <is>
          <t>反推濃度（1/x 加權）</t>
        </is>
      </c>
      <c r="B35" s="25">
        <f>(B33-B21)/B20</f>
        <v/>
      </c>
      <c r="C35" s="10" t="inlineStr">
        <is>
          <t>'=(B33-B21)/B20</t>
        </is>
      </c>
    </row>
    <row r="37">
      <c r="A37" s="26" t="inlineStr">
        <is>
          <t>Monte Carlo 示範：加權反推濃度的變動範圍（F9 重算會變，不列入核對）</t>
        </is>
      </c>
    </row>
    <row r="38">
      <c r="A38" s="6" t="inlineStr">
        <is>
          <t>模擬編號</t>
        </is>
      </c>
      <c r="B38" s="6" t="inlineStr">
        <is>
          <t>模擬 y*</t>
        </is>
      </c>
      <c r="C38" s="6" t="inlineStr">
        <is>
          <t>反推 x*（用固定 b1_w/b0_w 近似）</t>
        </is>
      </c>
    </row>
    <row r="39">
      <c r="A39" s="9" t="n">
        <v>1</v>
      </c>
      <c r="B39" s="22">
        <f>_xlfn.NORM.INV(RAND(),B33,0.003)</f>
        <v/>
      </c>
      <c r="C39" s="27">
        <f>(B39-B21)/B20</f>
        <v/>
      </c>
    </row>
    <row r="40">
      <c r="A40" s="9" t="n">
        <v>2</v>
      </c>
      <c r="B40" s="22">
        <f>_xlfn.NORM.INV(RAND(),B33,0.003)</f>
        <v/>
      </c>
      <c r="C40" s="27">
        <f>(B40-B21)/B20</f>
        <v/>
      </c>
    </row>
    <row r="41">
      <c r="A41" s="9" t="n">
        <v>3</v>
      </c>
      <c r="B41" s="22">
        <f>_xlfn.NORM.INV(RAND(),B33,0.003)</f>
        <v/>
      </c>
      <c r="C41" s="27">
        <f>(B41-B21)/B20</f>
        <v/>
      </c>
    </row>
    <row r="42">
      <c r="A42" s="9" t="n">
        <v>4</v>
      </c>
      <c r="B42" s="22">
        <f>_xlfn.NORM.INV(RAND(),B33,0.003)</f>
        <v/>
      </c>
      <c r="C42" s="27">
        <f>(B42-B21)/B20</f>
        <v/>
      </c>
    </row>
    <row r="43">
      <c r="A43" s="9" t="n">
        <v>5</v>
      </c>
      <c r="B43" s="22">
        <f>_xlfn.NORM.INV(RAND(),B33,0.003)</f>
        <v/>
      </c>
      <c r="C43" s="27">
        <f>(B43-B21)/B20</f>
        <v/>
      </c>
    </row>
    <row r="44">
      <c r="A44" s="9" t="n">
        <v>6</v>
      </c>
      <c r="B44" s="22">
        <f>_xlfn.NORM.INV(RAND(),B33,0.003)</f>
        <v/>
      </c>
      <c r="C44" s="27">
        <f>(B44-B21)/B20</f>
        <v/>
      </c>
    </row>
    <row r="45">
      <c r="A45" s="9" t="n">
        <v>7</v>
      </c>
      <c r="B45" s="22">
        <f>_xlfn.NORM.INV(RAND(),B33,0.003)</f>
        <v/>
      </c>
      <c r="C45" s="27">
        <f>(B45-B21)/B20</f>
        <v/>
      </c>
    </row>
    <row r="46">
      <c r="A46" s="9" t="n">
        <v>8</v>
      </c>
      <c r="B46" s="22">
        <f>_xlfn.NORM.INV(RAND(),B33,0.003)</f>
        <v/>
      </c>
      <c r="C46" s="27">
        <f>(B46-B21)/B20</f>
        <v/>
      </c>
    </row>
    <row r="47">
      <c r="A47" s="9" t="n">
        <v>9</v>
      </c>
      <c r="B47" s="22">
        <f>_xlfn.NORM.INV(RAND(),B33,0.003)</f>
        <v/>
      </c>
      <c r="C47" s="27">
        <f>(B47-B21)/B20</f>
        <v/>
      </c>
    </row>
    <row r="48">
      <c r="A48" s="9" t="n">
        <v>10</v>
      </c>
      <c r="B48" s="22">
        <f>_xlfn.NORM.INV(RAND(),B33,0.003)</f>
        <v/>
      </c>
      <c r="C48" s="27">
        <f>(B48-B21)/B20</f>
        <v/>
      </c>
    </row>
    <row r="49">
      <c r="A49" s="9" t="n">
        <v>11</v>
      </c>
      <c r="B49" s="22">
        <f>_xlfn.NORM.INV(RAND(),B33,0.003)</f>
        <v/>
      </c>
      <c r="C49" s="27">
        <f>(B49-B21)/B20</f>
        <v/>
      </c>
    </row>
    <row r="50">
      <c r="A50" s="9" t="n">
        <v>12</v>
      </c>
      <c r="B50" s="22">
        <f>_xlfn.NORM.INV(RAND(),B33,0.003)</f>
        <v/>
      </c>
      <c r="C50" s="27">
        <f>(B50-B21)/B20</f>
        <v/>
      </c>
    </row>
    <row r="51">
      <c r="A51" s="9" t="n">
        <v>13</v>
      </c>
      <c r="B51" s="22">
        <f>_xlfn.NORM.INV(RAND(),B33,0.003)</f>
        <v/>
      </c>
      <c r="C51" s="27">
        <f>(B51-B21)/B20</f>
        <v/>
      </c>
    </row>
    <row r="52">
      <c r="A52" s="9" t="n">
        <v>14</v>
      </c>
      <c r="B52" s="22">
        <f>_xlfn.NORM.INV(RAND(),B33,0.003)</f>
        <v/>
      </c>
      <c r="C52" s="27">
        <f>(B52-B21)/B20</f>
        <v/>
      </c>
    </row>
    <row r="53">
      <c r="A53" s="9" t="n">
        <v>15</v>
      </c>
      <c r="B53" s="22">
        <f>_xlfn.NORM.INV(RAND(),B33,0.003)</f>
        <v/>
      </c>
      <c r="C53" s="27">
        <f>(B53-B21)/B20</f>
        <v/>
      </c>
    </row>
    <row r="54">
      <c r="A54" s="9" t="n">
        <v>16</v>
      </c>
      <c r="B54" s="22">
        <f>_xlfn.NORM.INV(RAND(),B33,0.003)</f>
        <v/>
      </c>
      <c r="C54" s="27">
        <f>(B54-B21)/B20</f>
        <v/>
      </c>
    </row>
    <row r="55">
      <c r="A55" s="9" t="n">
        <v>17</v>
      </c>
      <c r="B55" s="22">
        <f>_xlfn.NORM.INV(RAND(),B33,0.003)</f>
        <v/>
      </c>
      <c r="C55" s="27">
        <f>(B55-B21)/B20</f>
        <v/>
      </c>
    </row>
    <row r="56">
      <c r="A56" s="9" t="n">
        <v>18</v>
      </c>
      <c r="B56" s="22">
        <f>_xlfn.NORM.INV(RAND(),B33,0.003)</f>
        <v/>
      </c>
      <c r="C56" s="27">
        <f>(B56-B21)/B20</f>
        <v/>
      </c>
    </row>
    <row r="57">
      <c r="A57" s="9" t="n">
        <v>19</v>
      </c>
      <c r="B57" s="22">
        <f>_xlfn.NORM.INV(RAND(),B33,0.003)</f>
        <v/>
      </c>
      <c r="C57" s="27">
        <f>(B57-B21)/B20</f>
        <v/>
      </c>
    </row>
    <row r="58">
      <c r="A58" s="9" t="n">
        <v>20</v>
      </c>
      <c r="B58" s="22">
        <f>_xlfn.NORM.INV(RAND(),B33,0.003)</f>
        <v/>
      </c>
      <c r="C58" s="27">
        <f>(B58-B21)/B20</f>
        <v/>
      </c>
    </row>
    <row r="59">
      <c r="A59" s="9" t="n">
        <v>21</v>
      </c>
      <c r="B59" s="22">
        <f>_xlfn.NORM.INV(RAND(),B33,0.003)</f>
        <v/>
      </c>
      <c r="C59" s="27">
        <f>(B59-B21)/B20</f>
        <v/>
      </c>
    </row>
    <row r="60">
      <c r="A60" s="9" t="n">
        <v>22</v>
      </c>
      <c r="B60" s="22">
        <f>_xlfn.NORM.INV(RAND(),B33,0.003)</f>
        <v/>
      </c>
      <c r="C60" s="27">
        <f>(B60-B21)/B20</f>
        <v/>
      </c>
    </row>
    <row r="61">
      <c r="A61" s="9" t="n">
        <v>23</v>
      </c>
      <c r="B61" s="22">
        <f>_xlfn.NORM.INV(RAND(),B33,0.003)</f>
        <v/>
      </c>
      <c r="C61" s="27">
        <f>(B61-B21)/B20</f>
        <v/>
      </c>
    </row>
    <row r="62">
      <c r="A62" s="9" t="n">
        <v>24</v>
      </c>
      <c r="B62" s="22">
        <f>_xlfn.NORM.INV(RAND(),B33,0.003)</f>
        <v/>
      </c>
      <c r="C62" s="27">
        <f>(B62-B21)/B20</f>
        <v/>
      </c>
    </row>
    <row r="63">
      <c r="A63" s="9" t="n">
        <v>25</v>
      </c>
      <c r="B63" s="22">
        <f>_xlfn.NORM.INV(RAND(),B33,0.003)</f>
        <v/>
      </c>
      <c r="C63" s="27">
        <f>(B63-B21)/B20</f>
        <v/>
      </c>
    </row>
    <row r="64">
      <c r="A64" s="9" t="n">
        <v>26</v>
      </c>
      <c r="B64" s="22">
        <f>_xlfn.NORM.INV(RAND(),B33,0.003)</f>
        <v/>
      </c>
      <c r="C64" s="27">
        <f>(B64-B21)/B20</f>
        <v/>
      </c>
    </row>
    <row r="65">
      <c r="A65" s="9" t="n">
        <v>27</v>
      </c>
      <c r="B65" s="22">
        <f>_xlfn.NORM.INV(RAND(),B33,0.003)</f>
        <v/>
      </c>
      <c r="C65" s="27">
        <f>(B65-B21)/B20</f>
        <v/>
      </c>
    </row>
    <row r="66">
      <c r="A66" s="9" t="n">
        <v>28</v>
      </c>
      <c r="B66" s="22">
        <f>_xlfn.NORM.INV(RAND(),B33,0.003)</f>
        <v/>
      </c>
      <c r="C66" s="27">
        <f>(B66-B21)/B20</f>
        <v/>
      </c>
    </row>
    <row r="67">
      <c r="A67" s="9" t="n">
        <v>29</v>
      </c>
      <c r="B67" s="22">
        <f>_xlfn.NORM.INV(RAND(),B33,0.003)</f>
        <v/>
      </c>
      <c r="C67" s="27">
        <f>(B67-B21)/B20</f>
        <v/>
      </c>
    </row>
    <row r="68">
      <c r="A68" s="9" t="n">
        <v>30</v>
      </c>
      <c r="B68" s="22">
        <f>_xlfn.NORM.INV(RAND(),B33,0.003)</f>
        <v/>
      </c>
      <c r="C68" s="27">
        <f>(B68-B21)/B20</f>
        <v/>
      </c>
    </row>
    <row r="70">
      <c r="A70" s="11" t="inlineStr">
        <is>
          <t>完整的加權校正 Monte Carlo（每條模擬校正線都重新配一次）在 R 檔示範，Excel 不易做到逐條重配，這裡只示範「觀測值本身的隨機性」對反推濃度的影響。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12" customWidth="1" min="4" max="4"/>
    <col width="16" customWidth="1" min="5" max="5"/>
    <col width="14" customWidth="1" min="6" max="6"/>
    <col width="12" customWidth="1" min="7" max="7"/>
    <col width="46" customWidth="1" min="8" max="8"/>
  </cols>
  <sheetData>
    <row r="1">
      <c r="A1" s="3" t="inlineStr">
        <is>
          <t>四個相對標準不確定度成分（內部驗證法，SANTE 風格）</t>
        </is>
      </c>
    </row>
    <row r="2">
      <c r="A2" s="6" t="inlineStr">
        <is>
          <t>來源</t>
        </is>
      </c>
      <c r="B2" s="6" t="inlineStr">
        <is>
          <t>數值</t>
        </is>
      </c>
      <c r="C2" s="6" t="inlineStr">
        <is>
          <t>分布</t>
        </is>
      </c>
      <c r="D2" s="6" t="inlineStr">
        <is>
          <t>除數</t>
        </is>
      </c>
      <c r="E2" s="6" t="inlineStr">
        <is>
          <t>標準不確定度 u</t>
        </is>
      </c>
      <c r="F2" s="6" t="inlineStr">
        <is>
          <t>相對 u(x)/x</t>
        </is>
      </c>
      <c r="G2" s="6" t="inlineStr">
        <is>
          <t>u²占比 (%)</t>
        </is>
      </c>
    </row>
    <row r="3">
      <c r="A3" s="8" t="inlineStr">
        <is>
          <t>中間精密度</t>
        </is>
      </c>
      <c r="B3" s="21" t="n">
        <v>1</v>
      </c>
      <c r="C3" s="8" t="inlineStr">
        <is>
          <t>驗證期不同天/人/校正週期的樣品數據</t>
        </is>
      </c>
      <c r="D3" s="8" t="inlineStr">
        <is>
          <t>—</t>
        </is>
      </c>
      <c r="E3" s="14" t="n">
        <v>0.22</v>
      </c>
      <c r="F3" s="28">
        <f>E3/1</f>
        <v/>
      </c>
      <c r="G3" s="29">
        <f>F3^2/B9^2*100</f>
        <v/>
      </c>
    </row>
    <row r="4">
      <c r="A4" s="8" t="inlineStr">
        <is>
          <t>校正＋基質殘餘</t>
        </is>
      </c>
      <c r="B4" s="21" t="n">
        <v>1</v>
      </c>
      <c r="C4" s="8" t="inlineStr">
        <is>
          <t>SIL-IS＋基質匹配校正後的殘餘基質效應</t>
        </is>
      </c>
      <c r="D4" s="8" t="inlineStr">
        <is>
          <t>—</t>
        </is>
      </c>
      <c r="E4" s="14" t="n">
        <v>0.08</v>
      </c>
      <c r="F4" s="28">
        <f>E4/1</f>
        <v/>
      </c>
      <c r="G4" s="29">
        <f>F4^2/B9^2*100</f>
        <v/>
      </c>
    </row>
    <row r="5">
      <c r="A5" s="8" t="inlineStr">
        <is>
          <t>回收率偏倚</t>
        </is>
      </c>
      <c r="B5" s="21" t="n">
        <v>1</v>
      </c>
      <c r="C5" s="8" t="inlineStr">
        <is>
          <t>加標回收平均 90%，平均值的標準誤</t>
        </is>
      </c>
      <c r="D5" s="8" t="inlineStr">
        <is>
          <t>—</t>
        </is>
      </c>
      <c r="E5" s="14" t="n">
        <v>0.06</v>
      </c>
      <c r="F5" s="28">
        <f>E5/1</f>
        <v/>
      </c>
      <c r="G5" s="29">
        <f>F5^2/B9^2*100</f>
        <v/>
      </c>
    </row>
    <row r="6">
      <c r="A6" s="8" t="inlineStr">
        <is>
          <t>樣品均勻性</t>
        </is>
      </c>
      <c r="B6" s="21" t="n">
        <v>1</v>
      </c>
      <c r="C6" s="8" t="inlineStr">
        <is>
          <t>痕量污染物在蝦肉組織的分布（最壞情境模型）</t>
        </is>
      </c>
      <c r="D6" s="8" t="inlineStr">
        <is>
          <t>—</t>
        </is>
      </c>
      <c r="E6" s="14" t="n">
        <v>0.15</v>
      </c>
      <c r="F6" s="28">
        <f>E6/1</f>
        <v/>
      </c>
      <c r="G6" s="29">
        <f>F6^2/B9^2*100</f>
        <v/>
      </c>
    </row>
    <row r="8">
      <c r="A8" s="6" t="inlineStr">
        <is>
          <t>項目</t>
        </is>
      </c>
      <c r="B8" s="6" t="inlineStr">
        <is>
          <t>結果</t>
        </is>
      </c>
      <c r="C8" s="6" t="inlineStr">
        <is>
          <t>公式</t>
        </is>
      </c>
      <c r="D8" s="6" t="inlineStr">
        <is>
          <t>說明</t>
        </is>
      </c>
    </row>
    <row r="9">
      <c r="A9" s="12" t="inlineStr">
        <is>
          <t>相對合成不確定度 u_c(w)/w</t>
        </is>
      </c>
      <c r="B9" s="13">
        <f>SQRT(SUMSQ(F3,F4,F5,F6))</f>
        <v/>
      </c>
      <c r="C9" s="10" t="inlineStr">
        <is>
          <t>'=SQRT(SUMSQ(F3,F4,F5,F6))</t>
        </is>
      </c>
      <c r="D9" s="11" t="inlineStr">
        <is>
          <t>四項平方和開根號</t>
        </is>
      </c>
    </row>
    <row r="11">
      <c r="A11" s="8" t="inlineStr">
        <is>
          <t>儀器讀值（同位素稀釋，已扣除基質） (μg/kg)</t>
        </is>
      </c>
      <c r="B11" s="14" t="n">
        <v>0.19</v>
      </c>
    </row>
    <row r="12">
      <c r="A12" s="8" t="inlineStr">
        <is>
          <t>Rec：平均回收率</t>
        </is>
      </c>
      <c r="B12" s="14" t="n">
        <v>0.9</v>
      </c>
    </row>
    <row r="13">
      <c r="A13" s="12" t="inlineStr">
        <is>
          <t>w：回收率修正後結果 (μg/kg)</t>
        </is>
      </c>
      <c r="B13" s="13">
        <f>B11/B12</f>
        <v/>
      </c>
      <c r="C13" s="10" t="inlineStr">
        <is>
          <t>'=B11/B12</t>
        </is>
      </c>
      <c r="D13" s="11" t="inlineStr">
        <is>
          <t>raw / Rec</t>
        </is>
      </c>
    </row>
    <row r="14">
      <c r="A14" s="12" t="inlineStr">
        <is>
          <t>U：擴展不確定度 (k=2, μg/kg)</t>
        </is>
      </c>
      <c r="B14" s="13">
        <f>2*B9*B13</f>
        <v/>
      </c>
      <c r="C14" s="10" t="inlineStr">
        <is>
          <t>'=2*B9*B13</t>
        </is>
      </c>
      <c r="D14" s="11" t="inlineStr">
        <is>
          <t>2 × 相對合成 × w</t>
        </is>
      </c>
    </row>
    <row r="15">
      <c r="A15" s="15" t="inlineStr">
        <is>
          <t>報告：氯黴素 = (0.21 ± 0.12) μg/kg（k=2）</t>
        </is>
      </c>
    </row>
    <row r="17">
      <c r="A17" s="3" t="inlineStr">
        <is>
          <t>符合性判定（保守決策規則）</t>
        </is>
      </c>
    </row>
    <row r="18">
      <c r="A18" s="6" t="inlineStr">
        <is>
          <t>項目</t>
        </is>
      </c>
      <c r="B18" s="6" t="inlineStr">
        <is>
          <t>結果</t>
        </is>
      </c>
      <c r="C18" s="6" t="inlineStr">
        <is>
          <t>公式</t>
        </is>
      </c>
      <c r="D18" s="6" t="inlineStr">
        <is>
          <t>說明</t>
        </is>
      </c>
    </row>
    <row r="19">
      <c r="A19" s="8" t="inlineStr">
        <is>
          <t>MRPL：管制界限 (μg/kg)</t>
        </is>
      </c>
      <c r="B19" s="16" t="n">
        <v>0.3</v>
      </c>
    </row>
    <row r="20">
      <c r="A20" s="8" t="inlineStr">
        <is>
          <t>下限 = w − U</t>
        </is>
      </c>
      <c r="B20" s="28">
        <f>B13-B14</f>
        <v/>
      </c>
      <c r="C20" s="10" t="inlineStr">
        <is>
          <t>'=B13-B14</t>
        </is>
      </c>
    </row>
    <row r="21">
      <c r="A21" s="8" t="inlineStr">
        <is>
          <t>上限 = w + U</t>
        </is>
      </c>
      <c r="B21" s="28">
        <f>B13+B14</f>
        <v/>
      </c>
      <c r="C21" s="10" t="inlineStr">
        <is>
          <t>'=B13+B14</t>
        </is>
      </c>
    </row>
    <row r="22">
      <c r="A22" s="12" t="inlineStr">
        <is>
          <t>判定</t>
        </is>
      </c>
      <c r="B22" s="30">
        <f>IF(B20&gt;B19,"不符合",IF(B21&lt;=B19,"符合","灰色地帶"))</f>
        <v/>
      </c>
      <c r="C22" s="10" t="inlineStr">
        <is>
          <t>'=IF(B20&gt;B19,"不符合",IF(B21&lt;=B19,"符合","灰色地帶"))</t>
        </is>
      </c>
      <c r="D22" s="11" t="inlineStr">
        <is>
          <t>下限超過限量才判不符合；上限沒超過才判符合；其餘是灰色地帶</t>
        </is>
      </c>
    </row>
    <row r="24">
      <c r="A24" s="26" t="inlineStr">
        <is>
          <t>Monte Carlo 決策支持示範：真值超過管制界限的機率（F9 重算會變，不列入核對）</t>
        </is>
      </c>
    </row>
    <row r="25">
      <c r="A25" s="6" t="inlineStr">
        <is>
          <t>模擬編號</t>
        </is>
      </c>
      <c r="B25" s="6" t="inlineStr">
        <is>
          <t>模擬真值 (μg/kg)</t>
        </is>
      </c>
      <c r="C25" s="6" t="inlineStr">
        <is>
          <t>是否超標</t>
        </is>
      </c>
    </row>
    <row r="26">
      <c r="A26" s="9" t="n">
        <v>1</v>
      </c>
      <c r="B26" s="22">
        <f>_xlfn.NORM.INV(RAND(),B13,B9*B13)</f>
        <v/>
      </c>
      <c r="C26" s="31">
        <f>IF(B26&gt;B19,1,0)</f>
        <v/>
      </c>
    </row>
    <row r="27">
      <c r="A27" s="9" t="n">
        <v>2</v>
      </c>
      <c r="B27" s="22">
        <f>_xlfn.NORM.INV(RAND(),B13,B9*B13)</f>
        <v/>
      </c>
      <c r="C27" s="31">
        <f>IF(B27&gt;B19,1,0)</f>
        <v/>
      </c>
    </row>
    <row r="28">
      <c r="A28" s="9" t="n">
        <v>3</v>
      </c>
      <c r="B28" s="22">
        <f>_xlfn.NORM.INV(RAND(),B13,B9*B13)</f>
        <v/>
      </c>
      <c r="C28" s="31">
        <f>IF(B28&gt;B19,1,0)</f>
        <v/>
      </c>
    </row>
    <row r="29">
      <c r="A29" s="9" t="n">
        <v>4</v>
      </c>
      <c r="B29" s="22">
        <f>_xlfn.NORM.INV(RAND(),B13,B9*B13)</f>
        <v/>
      </c>
      <c r="C29" s="31">
        <f>IF(B29&gt;B19,1,0)</f>
        <v/>
      </c>
    </row>
    <row r="30">
      <c r="A30" s="9" t="n">
        <v>5</v>
      </c>
      <c r="B30" s="22">
        <f>_xlfn.NORM.INV(RAND(),B13,B9*B13)</f>
        <v/>
      </c>
      <c r="C30" s="31">
        <f>IF(B30&gt;B19,1,0)</f>
        <v/>
      </c>
    </row>
    <row r="31">
      <c r="A31" s="9" t="n">
        <v>6</v>
      </c>
      <c r="B31" s="22">
        <f>_xlfn.NORM.INV(RAND(),B13,B9*B13)</f>
        <v/>
      </c>
      <c r="C31" s="31">
        <f>IF(B31&gt;B19,1,0)</f>
        <v/>
      </c>
    </row>
    <row r="32">
      <c r="A32" s="9" t="n">
        <v>7</v>
      </c>
      <c r="B32" s="22">
        <f>_xlfn.NORM.INV(RAND(),B13,B9*B13)</f>
        <v/>
      </c>
      <c r="C32" s="31">
        <f>IF(B32&gt;B19,1,0)</f>
        <v/>
      </c>
    </row>
    <row r="33">
      <c r="A33" s="9" t="n">
        <v>8</v>
      </c>
      <c r="B33" s="22">
        <f>_xlfn.NORM.INV(RAND(),B13,B9*B13)</f>
        <v/>
      </c>
      <c r="C33" s="31">
        <f>IF(B33&gt;B19,1,0)</f>
        <v/>
      </c>
    </row>
    <row r="34">
      <c r="A34" s="9" t="n">
        <v>9</v>
      </c>
      <c r="B34" s="22">
        <f>_xlfn.NORM.INV(RAND(),B13,B9*B13)</f>
        <v/>
      </c>
      <c r="C34" s="31">
        <f>IF(B34&gt;B19,1,0)</f>
        <v/>
      </c>
    </row>
    <row r="35">
      <c r="A35" s="9" t="n">
        <v>10</v>
      </c>
      <c r="B35" s="22">
        <f>_xlfn.NORM.INV(RAND(),B13,B9*B13)</f>
        <v/>
      </c>
      <c r="C35" s="31">
        <f>IF(B35&gt;B19,1,0)</f>
        <v/>
      </c>
    </row>
    <row r="36">
      <c r="A36" s="9" t="n">
        <v>11</v>
      </c>
      <c r="B36" s="22">
        <f>_xlfn.NORM.INV(RAND(),B13,B9*B13)</f>
        <v/>
      </c>
      <c r="C36" s="31">
        <f>IF(B36&gt;B19,1,0)</f>
        <v/>
      </c>
    </row>
    <row r="37">
      <c r="A37" s="9" t="n">
        <v>12</v>
      </c>
      <c r="B37" s="22">
        <f>_xlfn.NORM.INV(RAND(),B13,B9*B13)</f>
        <v/>
      </c>
      <c r="C37" s="31">
        <f>IF(B37&gt;B19,1,0)</f>
        <v/>
      </c>
    </row>
    <row r="38">
      <c r="A38" s="9" t="n">
        <v>13</v>
      </c>
      <c r="B38" s="22">
        <f>_xlfn.NORM.INV(RAND(),B13,B9*B13)</f>
        <v/>
      </c>
      <c r="C38" s="31">
        <f>IF(B38&gt;B19,1,0)</f>
        <v/>
      </c>
    </row>
    <row r="39">
      <c r="A39" s="9" t="n">
        <v>14</v>
      </c>
      <c r="B39" s="22">
        <f>_xlfn.NORM.INV(RAND(),B13,B9*B13)</f>
        <v/>
      </c>
      <c r="C39" s="31">
        <f>IF(B39&gt;B19,1,0)</f>
        <v/>
      </c>
    </row>
    <row r="40">
      <c r="A40" s="9" t="n">
        <v>15</v>
      </c>
      <c r="B40" s="22">
        <f>_xlfn.NORM.INV(RAND(),B13,B9*B13)</f>
        <v/>
      </c>
      <c r="C40" s="31">
        <f>IF(B40&gt;B19,1,0)</f>
        <v/>
      </c>
    </row>
    <row r="41">
      <c r="A41" s="9" t="n">
        <v>16</v>
      </c>
      <c r="B41" s="22">
        <f>_xlfn.NORM.INV(RAND(),B13,B9*B13)</f>
        <v/>
      </c>
      <c r="C41" s="31">
        <f>IF(B41&gt;B19,1,0)</f>
        <v/>
      </c>
    </row>
    <row r="42">
      <c r="A42" s="9" t="n">
        <v>17</v>
      </c>
      <c r="B42" s="22">
        <f>_xlfn.NORM.INV(RAND(),B13,B9*B13)</f>
        <v/>
      </c>
      <c r="C42" s="31">
        <f>IF(B42&gt;B19,1,0)</f>
        <v/>
      </c>
    </row>
    <row r="43">
      <c r="A43" s="9" t="n">
        <v>18</v>
      </c>
      <c r="B43" s="22">
        <f>_xlfn.NORM.INV(RAND(),B13,B9*B13)</f>
        <v/>
      </c>
      <c r="C43" s="31">
        <f>IF(B43&gt;B19,1,0)</f>
        <v/>
      </c>
    </row>
    <row r="44">
      <c r="A44" s="9" t="n">
        <v>19</v>
      </c>
      <c r="B44" s="22">
        <f>_xlfn.NORM.INV(RAND(),B13,B9*B13)</f>
        <v/>
      </c>
      <c r="C44" s="31">
        <f>IF(B44&gt;B19,1,0)</f>
        <v/>
      </c>
    </row>
    <row r="45">
      <c r="A45" s="9" t="n">
        <v>20</v>
      </c>
      <c r="B45" s="22">
        <f>_xlfn.NORM.INV(RAND(),B13,B9*B13)</f>
        <v/>
      </c>
      <c r="C45" s="31">
        <f>IF(B45&gt;B19,1,0)</f>
        <v/>
      </c>
    </row>
    <row r="46">
      <c r="A46" s="9" t="n">
        <v>21</v>
      </c>
      <c r="B46" s="22">
        <f>_xlfn.NORM.INV(RAND(),B13,B9*B13)</f>
        <v/>
      </c>
      <c r="C46" s="31">
        <f>IF(B46&gt;B19,1,0)</f>
        <v/>
      </c>
    </row>
    <row r="47">
      <c r="A47" s="9" t="n">
        <v>22</v>
      </c>
      <c r="B47" s="22">
        <f>_xlfn.NORM.INV(RAND(),B13,B9*B13)</f>
        <v/>
      </c>
      <c r="C47" s="31">
        <f>IF(B47&gt;B19,1,0)</f>
        <v/>
      </c>
    </row>
    <row r="48">
      <c r="A48" s="9" t="n">
        <v>23</v>
      </c>
      <c r="B48" s="22">
        <f>_xlfn.NORM.INV(RAND(),B13,B9*B13)</f>
        <v/>
      </c>
      <c r="C48" s="31">
        <f>IF(B48&gt;B19,1,0)</f>
        <v/>
      </c>
    </row>
    <row r="49">
      <c r="A49" s="9" t="n">
        <v>24</v>
      </c>
      <c r="B49" s="22">
        <f>_xlfn.NORM.INV(RAND(),B13,B9*B13)</f>
        <v/>
      </c>
      <c r="C49" s="31">
        <f>IF(B49&gt;B19,1,0)</f>
        <v/>
      </c>
    </row>
    <row r="50">
      <c r="A50" s="9" t="n">
        <v>25</v>
      </c>
      <c r="B50" s="22">
        <f>_xlfn.NORM.INV(RAND(),B13,B9*B13)</f>
        <v/>
      </c>
      <c r="C50" s="31">
        <f>IF(B50&gt;B19,1,0)</f>
        <v/>
      </c>
    </row>
    <row r="51">
      <c r="A51" s="9" t="n">
        <v>26</v>
      </c>
      <c r="B51" s="22">
        <f>_xlfn.NORM.INV(RAND(),B13,B9*B13)</f>
        <v/>
      </c>
      <c r="C51" s="31">
        <f>IF(B51&gt;B19,1,0)</f>
        <v/>
      </c>
    </row>
    <row r="52">
      <c r="A52" s="9" t="n">
        <v>27</v>
      </c>
      <c r="B52" s="22">
        <f>_xlfn.NORM.INV(RAND(),B13,B9*B13)</f>
        <v/>
      </c>
      <c r="C52" s="31">
        <f>IF(B52&gt;B19,1,0)</f>
        <v/>
      </c>
    </row>
    <row r="53">
      <c r="A53" s="9" t="n">
        <v>28</v>
      </c>
      <c r="B53" s="22">
        <f>_xlfn.NORM.INV(RAND(),B13,B9*B13)</f>
        <v/>
      </c>
      <c r="C53" s="31">
        <f>IF(B53&gt;B19,1,0)</f>
        <v/>
      </c>
    </row>
    <row r="54">
      <c r="A54" s="9" t="n">
        <v>29</v>
      </c>
      <c r="B54" s="22">
        <f>_xlfn.NORM.INV(RAND(),B13,B9*B13)</f>
        <v/>
      </c>
      <c r="C54" s="31">
        <f>IF(B54&gt;B19,1,0)</f>
        <v/>
      </c>
    </row>
    <row r="55">
      <c r="A55" s="9" t="n">
        <v>30</v>
      </c>
      <c r="B55" s="22">
        <f>_xlfn.NORM.INV(RAND(),B13,B9*B13)</f>
        <v/>
      </c>
      <c r="C55" s="31">
        <f>IF(B55&gt;B19,1,0)</f>
        <v/>
      </c>
    </row>
    <row r="56">
      <c r="A56" s="9" t="n">
        <v>31</v>
      </c>
      <c r="B56" s="22">
        <f>_xlfn.NORM.INV(RAND(),B13,B9*B13)</f>
        <v/>
      </c>
      <c r="C56" s="31">
        <f>IF(B56&gt;B19,1,0)</f>
        <v/>
      </c>
    </row>
    <row r="57">
      <c r="A57" s="9" t="n">
        <v>32</v>
      </c>
      <c r="B57" s="22">
        <f>_xlfn.NORM.INV(RAND(),B13,B9*B13)</f>
        <v/>
      </c>
      <c r="C57" s="31">
        <f>IF(B57&gt;B19,1,0)</f>
        <v/>
      </c>
    </row>
    <row r="58">
      <c r="A58" s="9" t="n">
        <v>33</v>
      </c>
      <c r="B58" s="22">
        <f>_xlfn.NORM.INV(RAND(),B13,B9*B13)</f>
        <v/>
      </c>
      <c r="C58" s="31">
        <f>IF(B58&gt;B19,1,0)</f>
        <v/>
      </c>
    </row>
    <row r="59">
      <c r="A59" s="9" t="n">
        <v>34</v>
      </c>
      <c r="B59" s="22">
        <f>_xlfn.NORM.INV(RAND(),B13,B9*B13)</f>
        <v/>
      </c>
      <c r="C59" s="31">
        <f>IF(B59&gt;B19,1,0)</f>
        <v/>
      </c>
    </row>
    <row r="60">
      <c r="A60" s="9" t="n">
        <v>35</v>
      </c>
      <c r="B60" s="22">
        <f>_xlfn.NORM.INV(RAND(),B13,B9*B13)</f>
        <v/>
      </c>
      <c r="C60" s="31">
        <f>IF(B60&gt;B19,1,0)</f>
        <v/>
      </c>
    </row>
    <row r="61">
      <c r="A61" s="9" t="n">
        <v>36</v>
      </c>
      <c r="B61" s="22">
        <f>_xlfn.NORM.INV(RAND(),B13,B9*B13)</f>
        <v/>
      </c>
      <c r="C61" s="31">
        <f>IF(B61&gt;B19,1,0)</f>
        <v/>
      </c>
    </row>
    <row r="62">
      <c r="A62" s="9" t="n">
        <v>37</v>
      </c>
      <c r="B62" s="22">
        <f>_xlfn.NORM.INV(RAND(),B13,B9*B13)</f>
        <v/>
      </c>
      <c r="C62" s="31">
        <f>IF(B62&gt;B19,1,0)</f>
        <v/>
      </c>
    </row>
    <row r="63">
      <c r="A63" s="9" t="n">
        <v>38</v>
      </c>
      <c r="B63" s="22">
        <f>_xlfn.NORM.INV(RAND(),B13,B9*B13)</f>
        <v/>
      </c>
      <c r="C63" s="31">
        <f>IF(B63&gt;B19,1,0)</f>
        <v/>
      </c>
    </row>
    <row r="64">
      <c r="A64" s="9" t="n">
        <v>39</v>
      </c>
      <c r="B64" s="22">
        <f>_xlfn.NORM.INV(RAND(),B13,B9*B13)</f>
        <v/>
      </c>
      <c r="C64" s="31">
        <f>IF(B64&gt;B19,1,0)</f>
        <v/>
      </c>
    </row>
    <row r="65">
      <c r="A65" s="9" t="n">
        <v>40</v>
      </c>
      <c r="B65" s="22">
        <f>_xlfn.NORM.INV(RAND(),B13,B9*B13)</f>
        <v/>
      </c>
      <c r="C65" s="31">
        <f>IF(B65&gt;B19,1,0)</f>
        <v/>
      </c>
    </row>
    <row r="67">
      <c r="A67" s="8" t="inlineStr">
        <is>
          <t>估計超標機率 P(真值&gt;MRPL)</t>
        </is>
      </c>
      <c r="B67" s="32">
        <f>AVERAGE(C26:C65)</f>
        <v/>
      </c>
      <c r="C67" s="10" t="inlineStr">
        <is>
          <t>'=AVERAGE(C26:C65)</t>
        </is>
      </c>
      <c r="D67" s="11" t="inlineStr">
        <is>
          <t>模擬次數只有 40，數字會隨 F9 大幅跳動；R 用 20 萬次得約 7%——這裡只是示範原理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6" t="inlineStr">
        <is>
          <t>項目</t>
        </is>
      </c>
      <c r="B1" s="6" t="inlineStr">
        <is>
          <t>Excel 算出來</t>
        </is>
      </c>
      <c r="C1" s="6" t="inlineStr">
        <is>
          <t>R 的答案</t>
        </is>
      </c>
      <c r="D1" s="6" t="inlineStr">
        <is>
          <t>一致？</t>
        </is>
      </c>
      <c r="E1" s="6" t="inlineStr">
        <is>
          <t>來源儲存格</t>
        </is>
      </c>
    </row>
    <row r="2">
      <c r="A2" s="8" t="inlineStr">
        <is>
          <t>Matuszewski 斜率 A</t>
        </is>
      </c>
      <c r="B2" s="22">
        <f>'Matuszewski基質效應'!B10</f>
        <v/>
      </c>
      <c r="C2" s="22" t="n">
        <v>45200</v>
      </c>
      <c r="D2" s="33">
        <f>IF(ABS(B2-C2)&lt;=22.6,"✓","✗")</f>
        <v/>
      </c>
      <c r="E2" s="34" t="inlineStr">
        <is>
          <t>'Matuszewski基質效應'!B10</t>
        </is>
      </c>
    </row>
    <row r="3">
      <c r="A3" s="8" t="inlineStr">
        <is>
          <t>ME%（基質效應）</t>
        </is>
      </c>
      <c r="B3" s="22">
        <f>'Matuszewski基質效應'!B13</f>
        <v/>
      </c>
      <c r="C3" s="22" t="n">
        <v>-15.04424779</v>
      </c>
      <c r="D3" s="33">
        <f>IF(ABS(B3-C3)&lt;=0.007522123895,"✓","✗")</f>
        <v/>
      </c>
      <c r="E3" s="34" t="inlineStr">
        <is>
          <t>'Matuszewski基質效應'!B13</t>
        </is>
      </c>
    </row>
    <row r="4">
      <c r="A4" s="8" t="inlineStr">
        <is>
          <t>RE%（萃取回收）</t>
        </is>
      </c>
      <c r="B4" s="22">
        <f>'Matuszewski基質效應'!B14</f>
        <v/>
      </c>
      <c r="C4" s="22" t="n">
        <v>-9.895833333000001</v>
      </c>
      <c r="D4" s="33">
        <f>IF(ABS(B4-C4)&lt;=0.0049479166665,"✓","✗")</f>
        <v/>
      </c>
      <c r="E4" s="34" t="inlineStr">
        <is>
          <t>'Matuszewski基質效應'!B14</t>
        </is>
      </c>
    </row>
    <row r="5">
      <c r="A5" s="8" t="inlineStr">
        <is>
          <t>PE%（流程效率）</t>
        </is>
      </c>
      <c r="B5" s="22">
        <f>'Matuszewski基質效應'!B15</f>
        <v/>
      </c>
      <c r="C5" s="22" t="n">
        <v>-23.45132743</v>
      </c>
      <c r="D5" s="33">
        <f>IF(ABS(B5-C5)&lt;=0.011725663715,"✓","✗")</f>
        <v/>
      </c>
      <c r="E5" s="34" t="inlineStr">
        <is>
          <t>'Matuszewski基質效應'!B15</t>
        </is>
      </c>
    </row>
    <row r="6">
      <c r="A6" s="8" t="inlineStr">
        <is>
          <t>ME%_IS（補償後）</t>
        </is>
      </c>
      <c r="B6" s="22">
        <f>'Matuszewski基質效應'!B22</f>
        <v/>
      </c>
      <c r="C6" s="22" t="n">
        <v>-3.921568627</v>
      </c>
      <c r="D6" s="33">
        <f>IF(ABS(B6-C6)&lt;=0.0019607843135,"✓","✗")</f>
        <v/>
      </c>
      <c r="E6" s="34" t="inlineStr">
        <is>
          <t>'Matuszewski基質效應'!B22</t>
        </is>
      </c>
    </row>
    <row r="7">
      <c r="A7" s="8" t="inlineStr">
        <is>
          <t>RE%_IS（補償後）</t>
        </is>
      </c>
      <c r="B7" s="22">
        <f>'Matuszewski基質效應'!B23</f>
        <v/>
      </c>
      <c r="C7" s="22" t="n">
        <v>-0.8163265306</v>
      </c>
      <c r="D7" s="33">
        <f>IF(ABS(B7-C7)&lt;=0.00040816326530000003,"✓","✗")</f>
        <v/>
      </c>
      <c r="E7" s="34" t="inlineStr">
        <is>
          <t>'Matuszewski基質效應'!B23</t>
        </is>
      </c>
    </row>
    <row r="8">
      <c r="A8" s="8" t="inlineStr">
        <is>
          <t>OLS 斜率 b1</t>
        </is>
      </c>
      <c r="B8" s="22">
        <f>'加權迴歸1x'!B11</f>
        <v/>
      </c>
      <c r="C8" s="22" t="n">
        <v>2.040052862694</v>
      </c>
      <c r="D8" s="33">
        <f>IF(ABS(B8-C8)&lt;=0.001020026431347,"✓","✗")</f>
        <v/>
      </c>
      <c r="E8" s="34" t="inlineStr">
        <is>
          <t>'加權迴歸1x'!B11</t>
        </is>
      </c>
    </row>
    <row r="9">
      <c r="A9" s="8" t="inlineStr">
        <is>
          <t>OLS 截距 b0</t>
        </is>
      </c>
      <c r="B9" s="22">
        <f>'加權迴歸1x'!B12</f>
        <v/>
      </c>
      <c r="C9" s="22" t="n">
        <v>-0.007302371574</v>
      </c>
      <c r="D9" s="33">
        <f>IF(ABS(B9-C9)&lt;=3.651185787e-06,"✓","✗")</f>
        <v/>
      </c>
      <c r="E9" s="34" t="inlineStr">
        <is>
          <t>'加權迴歸1x'!B12</t>
        </is>
      </c>
    </row>
    <row r="10">
      <c r="A10" s="8" t="inlineStr">
        <is>
          <t>加權斜率 b1_w</t>
        </is>
      </c>
      <c r="B10" s="22">
        <f>'加權迴歸1x'!B20</f>
        <v/>
      </c>
      <c r="C10" s="22" t="n">
        <v>2.008753393</v>
      </c>
      <c r="D10" s="33">
        <f>IF(ABS(B10-C10)&lt;=0.0010043766965,"✓","✗")</f>
        <v/>
      </c>
      <c r="E10" s="34" t="inlineStr">
        <is>
          <t>'加權迴歸1x'!B20</t>
        </is>
      </c>
    </row>
    <row r="11">
      <c r="A11" s="8" t="inlineStr">
        <is>
          <t>加權截距 b0_w</t>
        </is>
      </c>
      <c r="B11" s="22">
        <f>'加權迴歸1x'!B21</f>
        <v/>
      </c>
      <c r="C11" s="22" t="n">
        <v>-0.00185626386</v>
      </c>
      <c r="D11" s="33">
        <f>IF(ABS(B11-C11)&lt;=9.281319299999999e-07,"✓","✗")</f>
        <v/>
      </c>
      <c r="E11" s="34" t="inlineStr">
        <is>
          <t>'加權迴歸1x'!B21</t>
        </is>
      </c>
    </row>
    <row r="12">
      <c r="A12" s="8" t="inlineStr">
        <is>
          <t>反推濃度（1/x 加權）</t>
        </is>
      </c>
      <c r="B12" s="22">
        <f>'加權迴歸1x'!B35</f>
        <v/>
      </c>
      <c r="C12" s="22" t="n">
        <v>0.02108584558</v>
      </c>
      <c r="D12" s="33">
        <f>IF(ABS(B12-C12)&lt;=1.054292279e-05,"✓","✗")</f>
        <v/>
      </c>
      <c r="E12" s="34" t="inlineStr">
        <is>
          <t>'加權迴歸1x'!B35</t>
        </is>
      </c>
    </row>
    <row r="13">
      <c r="A13" s="8" t="inlineStr">
        <is>
          <t>找回濃度_加權 (conc=0.02)</t>
        </is>
      </c>
      <c r="B13" s="22">
        <f>'加權迴歸1x'!D25</f>
        <v/>
      </c>
      <c r="C13" s="22" t="n">
        <v>0.02050255427</v>
      </c>
      <c r="D13" s="33">
        <f>IF(ABS(B13-C13)&lt;=1.0251277135000001e-05,"✓","✗")</f>
        <v/>
      </c>
      <c r="E13" s="34" t="inlineStr">
        <is>
          <t>'加權迴歸1x'!D25</t>
        </is>
      </c>
    </row>
    <row r="14">
      <c r="A14" s="8" t="inlineStr">
        <is>
          <t>LC-MS/MS 相對合成不確定度</t>
        </is>
      </c>
      <c r="B14" s="22">
        <f>'不確定度預算與符合性'!B9</f>
        <v/>
      </c>
      <c r="C14" s="22" t="n">
        <v>0.2844292531</v>
      </c>
      <c r="D14" s="33">
        <f>IF(ABS(B14-C14)&lt;=0.00014221462655,"✓","✗")</f>
        <v/>
      </c>
      <c r="E14" s="34" t="inlineStr">
        <is>
          <t>'不確定度預算與符合性'!B9</t>
        </is>
      </c>
    </row>
    <row r="15">
      <c r="A15" s="8" t="inlineStr">
        <is>
          <t>LC-MS/MS 結果 w</t>
        </is>
      </c>
      <c r="B15" s="22">
        <f>'不確定度預算與符合性'!B13</f>
        <v/>
      </c>
      <c r="C15" s="22" t="n">
        <v>0.2111111111</v>
      </c>
      <c r="D15" s="33">
        <f>IF(ABS(B15-C15)&lt;=0.00010555555555000001,"✓","✗")</f>
        <v/>
      </c>
      <c r="E15" s="34" t="inlineStr">
        <is>
          <t>'不確定度預算與符合性'!B13</t>
        </is>
      </c>
    </row>
    <row r="16">
      <c r="A16" s="8" t="inlineStr">
        <is>
          <t>LC-MS/MS U (k=2)</t>
        </is>
      </c>
      <c r="B16" s="22">
        <f>'不確定度預算與符合性'!B14</f>
        <v/>
      </c>
      <c r="C16" s="22" t="n">
        <v>0.1200923513</v>
      </c>
      <c r="D16" s="33">
        <f>IF(ABS(B16-C16)&lt;=6.004617565e-05,"✓","✗")</f>
        <v/>
      </c>
      <c r="E16" s="34" t="inlineStr">
        <is>
          <t>'不確定度預算與符合性'!B14</t>
        </is>
      </c>
    </row>
    <row r="18">
      <c r="A18" s="11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