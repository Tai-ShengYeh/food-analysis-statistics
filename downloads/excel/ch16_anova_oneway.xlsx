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ANOVA逐步" sheetId="2" state="visible" r:id="rId2"/>
    <sheet xmlns:r="http://schemas.openxmlformats.org/officeDocument/2006/relationships" name="TukeyHSD" sheetId="3" state="visible" r:id="rId3"/>
    <sheet xmlns:r="http://schemas.openxmlformats.org/officeDocument/2006/relationships" name="醬油總氮(變異不等)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Consolas"/>
      <color rgb="001565C0"/>
      <sz val="10"/>
    </font>
    <font>
      <name val="Microsoft JhengHei"/>
      <b val="1"/>
    </font>
    <font>
      <name val="Microsoft JhengHei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0" borderId="1" pivotButton="0" quotePrefix="0" xfId="0"/>
    <xf numFmtId="1" fontId="6" fillId="0" borderId="1" pivotButton="0" quotePrefix="0" xfId="0"/>
    <xf numFmtId="0" fontId="7" fillId="0" borderId="0" pivotButton="0" quotePrefix="0" xfId="0"/>
    <xf numFmtId="165" fontId="6" fillId="0" borderId="1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5" fontId="8" fillId="4" borderId="1" pivotButton="0" quotePrefix="0" xfId="0"/>
    <xf numFmtId="165" fontId="6" fillId="3" borderId="1" pivotButton="0" quotePrefix="0" xfId="0"/>
    <xf numFmtId="1" fontId="6" fillId="3" borderId="1" pivotButton="0" quotePrefix="0" xfId="0"/>
    <xf numFmtId="49" fontId="6" fillId="0" borderId="1" pivotButton="0" quotePrefix="0" xfId="0"/>
    <xf numFmtId="2" fontId="6" fillId="3" borderId="1" pivotButton="0" quotePrefix="0" xfId="0"/>
    <xf numFmtId="0" fontId="9" fillId="0" borderId="0" applyAlignment="1" pivotButton="0" quotePrefix="0" xfId="0">
      <alignment vertical="top" wrapText="1"/>
    </xf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Ch16 單因子變異數分析：逐步 ANOVA 與 Tukey HSD</t>
        </is>
      </c>
    </row>
    <row r="2">
      <c r="A2" s="2" t="inlineStr">
        <is>
          <t>對應網頁：ch16.html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三種溶劑（甲醇、乙醇、丙酮）萃取總多酚，各獨立萃取 5 次。「ANOVA逐步」把總變異拆成「組間」與「組內」，一步步算出 F 與 p；「TukeyHSD」接著問「哪兩組不一樣」；「醬油總氮」示範各組變異不等（heteroscedastic）時傳統 ANOVA 為什�麼會誤導。</t>
        </is>
      </c>
    </row>
    <row r="6">
      <c r="A6" s="3" t="inlineStr">
        <is>
          <t>怎麼用</t>
        </is>
      </c>
    </row>
    <row r="7">
      <c r="A7" s="4" t="inlineStr">
        <is>
          <t>1. 「ANOVA逐步」左邊三欄黃色是三個溶劑的原始數據，右邊每一列一個公式，對照 SS_between/SS_within 怎麼一步步加總出來。</t>
        </is>
      </c>
    </row>
    <row r="8">
      <c r="A8" s="4" t="inlineStr">
        <is>
          <t>2. 試著把丙酮欄隨便一個數字改小，看 F、p、η² 怎麼變。</t>
        </is>
      </c>
    </row>
    <row r="9">
      <c r="A9" s="4" t="inlineStr">
        <is>
          <t>3. 「TukeyHSD」的臨界值 q（studentized range）Excel 沒有對應函數，已用 R 的 qtukey(0.95,3,12) 算好填在黃格——這格改了就不對，只是讓你知道它是「外部查表值」。</t>
        </is>
      </c>
    </row>
    <row r="10">
      <c r="A10" s="4" t="inlineStr">
        <is>
          <t>4. 「醬油總氮」示範四品牌批次變異差很大（C、D 是 A、B 的 8~12 倍），傳統 ANOVA（假設等變異）會被稀釋掉，看起來「沒有差異」，但這個假設本身就不成立。</t>
        </is>
      </c>
    </row>
    <row r="11">
      <c r="A11" s="3" t="inlineStr">
        <is>
          <t>觀念提醒</t>
        </is>
      </c>
    </row>
    <row r="12">
      <c r="A12" s="4" t="inlineStr">
        <is>
          <t>① SS_between 用「各組平均離總平均多遠」（n×(組平均−總平均)²加總）；SS_within 用「組內每個數據離自己組平均多遠」（DEVSQ 逐組加總）；兩者相加＝SS_total。</t>
        </is>
      </c>
    </row>
    <row r="13">
      <c r="A13" s="4" t="inlineStr">
        <is>
          <t>② Tukey HSD 的臨界值 q 來自 studentized range 分布，Excel 沒有內建函數，只能用 R 的 qtukey() 或查表；HSD = q × √(MS_within / n)，兩組平均差超過 HSD 才算顯著。</t>
        </is>
      </c>
    </row>
    <row r="14">
      <c r="A14" s="4" t="inlineStr">
        <is>
          <t>③ Excel 工具箱完全沒有 Welch ANOVA；一旦各組變異明顯不等（如醬油案例），請改用 R 的 oneway.test()（不假設等變異）。</t>
        </is>
      </c>
    </row>
    <row r="15">
      <c r="A15" s="3" t="inlineStr">
        <is>
          <t>資料分析工具箱操作步驟</t>
        </is>
      </c>
    </row>
    <row r="16">
      <c r="A16" s="4" t="inlineStr">
        <is>
          <t>① 啟用：檔案 → 選項 → 增益集 → 管理「Excel 增益集」→ 執行 → 勾選「分析工具箱」。</t>
        </is>
      </c>
    </row>
    <row r="17">
      <c r="A17" s="4" t="inlineStr">
        <is>
          <t>② 把各組數據排成並排的欄（每欄一組，如 A、B、C 各放一種溶劑）；「資料」→「資料分析」→「單因子變異數分析」（Anova: Single Factor）。</t>
        </is>
      </c>
    </row>
    <row r="18">
      <c r="A18" s="4" t="inlineStr">
        <is>
          <t>③ 輸入範圍框住含標題列的全部數據、分組方式選「逐欄」、勾選「類別軸標記是在第一列上」、α = 0.05 → 確定。</t>
        </is>
      </c>
    </row>
    <row r="19">
      <c r="A19" s="4" t="inlineStr">
        <is>
          <t>④ 輸出表對照：來源(組間/組內)→ SS/df/MS/F/P-值/臨界值 F crit，逐欄對應本活頁簿「ANOVA逐步」的 SS_between/SS_within、df、MS、F、p(F.DIST.RT)、F 臨界值(F.INV.RT)。</t>
        </is>
      </c>
    </row>
    <row r="20">
      <c r="A20" s="4" t="inlineStr">
        <is>
          <t>⑤ 工具箱&lt;b&gt;沒有&lt;/b&gt; Tukey HSD、Welch ANOVA 或殘差診斷；輸出也是靜態表，改數據要重跑一次「資料分析」才會更新——本活頁簿的公式版會自動重算。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甲醇 Methanol</t>
        </is>
      </c>
      <c r="B1" s="5" t="inlineStr">
        <is>
          <t>乙醇 Ethanol</t>
        </is>
      </c>
      <c r="C1" s="5" t="inlineStr">
        <is>
          <t>丙酮 Acetone</t>
        </is>
      </c>
    </row>
    <row r="2">
      <c r="A2" s="6" t="n">
        <v>12.4</v>
      </c>
      <c r="B2" s="6" t="n">
        <v>13</v>
      </c>
      <c r="C2" s="6" t="n">
        <v>14.8</v>
      </c>
    </row>
    <row r="3">
      <c r="A3" s="6" t="n">
        <v>13.1</v>
      </c>
      <c r="B3" s="6" t="n">
        <v>12.2</v>
      </c>
      <c r="C3" s="6" t="n">
        <v>15.4</v>
      </c>
    </row>
    <row r="4">
      <c r="A4" s="6" t="n">
        <v>12.8</v>
      </c>
      <c r="B4" s="6" t="n">
        <v>13.5</v>
      </c>
      <c r="C4" s="6" t="n">
        <v>14.5</v>
      </c>
    </row>
    <row r="5">
      <c r="A5" s="6" t="n">
        <v>11.9</v>
      </c>
      <c r="B5" s="6" t="n">
        <v>12.9</v>
      </c>
      <c r="C5" s="6" t="n">
        <v>15.1</v>
      </c>
    </row>
    <row r="6">
      <c r="A6" s="6" t="n">
        <v>12.6</v>
      </c>
      <c r="B6" s="6" t="n">
        <v>13.3</v>
      </c>
      <c r="C6" s="6" t="n">
        <v>15.6</v>
      </c>
    </row>
    <row r="8">
      <c r="A8" s="5" t="inlineStr">
        <is>
          <t>項目</t>
        </is>
      </c>
      <c r="B8" s="5" t="inlineStr">
        <is>
          <t>結果</t>
        </is>
      </c>
      <c r="C8" s="5" t="inlineStr">
        <is>
          <t>公式</t>
        </is>
      </c>
      <c r="D8" s="5" t="inlineStr">
        <is>
          <t>白話說明</t>
        </is>
      </c>
    </row>
    <row r="9">
      <c r="A9" s="7" t="inlineStr">
        <is>
          <t>n 甲醇</t>
        </is>
      </c>
      <c r="B9" s="8">
        <f>COUNT(A2:A6)</f>
        <v/>
      </c>
      <c r="C9" s="9" t="inlineStr">
        <is>
          <t>'=COUNT(A2:A6)</t>
        </is>
      </c>
    </row>
    <row r="10">
      <c r="A10" s="7" t="inlineStr">
        <is>
          <t>n 乙醇</t>
        </is>
      </c>
      <c r="B10" s="8">
        <f>COUNT(B2:B6)</f>
        <v/>
      </c>
      <c r="C10" s="9" t="inlineStr">
        <is>
          <t>'=COUNT(B2:B6)</t>
        </is>
      </c>
    </row>
    <row r="11">
      <c r="A11" s="7" t="inlineStr">
        <is>
          <t>n 丙酮</t>
        </is>
      </c>
      <c r="B11" s="8">
        <f>COUNT(C2:C6)</f>
        <v/>
      </c>
      <c r="C11" s="9" t="inlineStr">
        <is>
          <t>'=COUNT(C2:C6)</t>
        </is>
      </c>
    </row>
    <row r="12">
      <c r="A12" s="7" t="inlineStr">
        <is>
          <t>組平均 甲醇</t>
        </is>
      </c>
      <c r="B12" s="10">
        <f>AVERAGE(A2:A6)</f>
        <v/>
      </c>
      <c r="C12" s="9" t="inlineStr">
        <is>
          <t>'=AVERAGE(A2:A6)</t>
        </is>
      </c>
    </row>
    <row r="13">
      <c r="A13" s="7" t="inlineStr">
        <is>
          <t>組平均 乙醇</t>
        </is>
      </c>
      <c r="B13" s="10">
        <f>AVERAGE(B2:B6)</f>
        <v/>
      </c>
      <c r="C13" s="9" t="inlineStr">
        <is>
          <t>'=AVERAGE(B2:B6)</t>
        </is>
      </c>
    </row>
    <row r="14">
      <c r="A14" s="7" t="inlineStr">
        <is>
          <t>組平均 丙酮</t>
        </is>
      </c>
      <c r="B14" s="10">
        <f>AVERAGE(C2:C6)</f>
        <v/>
      </c>
      <c r="C14" s="9" t="inlineStr">
        <is>
          <t>'=AVERAGE(C2:C6)</t>
        </is>
      </c>
    </row>
    <row r="15">
      <c r="A15" s="7" t="inlineStr">
        <is>
          <t>總平均 grand mean</t>
        </is>
      </c>
      <c r="B15" s="10">
        <f>AVERAGE(A2:C6)</f>
        <v/>
      </c>
      <c r="C15" s="9" t="inlineStr">
        <is>
          <t>'=AVERAGE(A2:C6)</t>
        </is>
      </c>
      <c r="D15" s="11" t="inlineStr">
        <is>
          <t>15 筆數據的總平均</t>
        </is>
      </c>
    </row>
    <row r="16">
      <c r="A16" s="7" t="inlineStr">
        <is>
          <t>k（組數）</t>
        </is>
      </c>
      <c r="B16" s="8" t="n">
        <v>3</v>
      </c>
    </row>
    <row r="17">
      <c r="A17" s="7" t="inlineStr">
        <is>
          <t>N（總筆數）</t>
        </is>
      </c>
      <c r="B17" s="8">
        <f>COUNT(A2:C6)</f>
        <v/>
      </c>
      <c r="C17" s="9" t="inlineStr">
        <is>
          <t>'=COUNT(A2:C6)</t>
        </is>
      </c>
    </row>
    <row r="18">
      <c r="A18" s="12" t="inlineStr">
        <is>
          <t>SS_between</t>
        </is>
      </c>
      <c r="B18" s="13">
        <f>B9*(B12-B15)^2+B10*(B13-B15)^2+B11*(B14-B15)^2</f>
        <v/>
      </c>
      <c r="C18" s="9" t="inlineStr">
        <is>
          <t>'=B9*(B12-B15)^2+B10*(B13-B15)^2+B11*(B14-B15)^2</t>
        </is>
      </c>
      <c r="D18" s="11" t="inlineStr">
        <is>
          <t>各組 n×(組平均−總平均)² 加總</t>
        </is>
      </c>
    </row>
    <row r="19">
      <c r="A19" s="12" t="inlineStr">
        <is>
          <t>SS_within</t>
        </is>
      </c>
      <c r="B19" s="13">
        <f>DEVSQ(A2:A6)+DEVSQ(B2:B6)+DEVSQ(C2:C6)</f>
        <v/>
      </c>
      <c r="C19" s="9" t="inlineStr">
        <is>
          <t>'=DEVSQ(A2:A6)+DEVSQ(B2:B6)+DEVSQ(C2:C6)</t>
        </is>
      </c>
      <c r="D19" s="11" t="inlineStr">
        <is>
          <t>各組 DEVSQ（離均差平方和）加總</t>
        </is>
      </c>
    </row>
    <row r="20">
      <c r="A20" s="7" t="inlineStr">
        <is>
          <t>SS_total</t>
        </is>
      </c>
      <c r="B20" s="10">
        <f>DEVSQ(A2:C6)</f>
        <v/>
      </c>
      <c r="C20" s="9" t="inlineStr">
        <is>
          <t>'=DEVSQ(A2:C6)</t>
        </is>
      </c>
      <c r="D20" s="11" t="inlineStr">
        <is>
          <t>應該等於 SS_between + SS_within（核對用）</t>
        </is>
      </c>
    </row>
    <row r="21">
      <c r="A21" s="7" t="inlineStr">
        <is>
          <t>df_between</t>
        </is>
      </c>
      <c r="B21" s="8">
        <f>B16-1</f>
        <v/>
      </c>
      <c r="C21" s="9" t="inlineStr">
        <is>
          <t>'=B16-1</t>
        </is>
      </c>
    </row>
    <row r="22">
      <c r="A22" s="7" t="inlineStr">
        <is>
          <t>df_within</t>
        </is>
      </c>
      <c r="B22" s="8">
        <f>B17-B16</f>
        <v/>
      </c>
      <c r="C22" s="9" t="inlineStr">
        <is>
          <t>'=B17-B16</t>
        </is>
      </c>
    </row>
    <row r="23">
      <c r="A23" s="7" t="inlineStr">
        <is>
          <t>MS_between</t>
        </is>
      </c>
      <c r="B23" s="10">
        <f>B18/B21</f>
        <v/>
      </c>
      <c r="C23" s="9" t="inlineStr">
        <is>
          <t>'=B18/B21</t>
        </is>
      </c>
    </row>
    <row r="24">
      <c r="A24" s="7" t="inlineStr">
        <is>
          <t>MS_within</t>
        </is>
      </c>
      <c r="B24" s="10">
        <f>B19/B22</f>
        <v/>
      </c>
      <c r="C24" s="9" t="inlineStr">
        <is>
          <t>'=B19/B22</t>
        </is>
      </c>
    </row>
    <row r="25">
      <c r="A25" s="12" t="inlineStr">
        <is>
          <t>F 值</t>
        </is>
      </c>
      <c r="B25" s="13">
        <f>B23/B24</f>
        <v/>
      </c>
      <c r="C25" s="9" t="inlineStr">
        <is>
          <t>'=B23/B24</t>
        </is>
      </c>
    </row>
    <row r="26">
      <c r="A26" s="12" t="inlineStr">
        <is>
          <t>p 值（右尾）</t>
        </is>
      </c>
      <c r="B26" s="13">
        <f>_xlfn.F.DIST.RT(B25,B21,B22)</f>
        <v/>
      </c>
      <c r="C26" s="9" t="inlineStr">
        <is>
          <t>'=F.DIST.RT(B25,B21,B22)</t>
        </is>
      </c>
      <c r="D26" s="11" t="inlineStr">
        <is>
          <t>F.DIST.RT 的 RT=right tail，對應 R 的 pf(...,lower.tail=FALSE)</t>
        </is>
      </c>
    </row>
    <row r="27">
      <c r="A27" s="7" t="inlineStr">
        <is>
          <t>F 臨界值 (α=0.05)</t>
        </is>
      </c>
      <c r="B27" s="10">
        <f>_xlfn.F.INV.RT(0.05,B21,B22)</f>
        <v/>
      </c>
      <c r="C27" s="9" t="inlineStr">
        <is>
          <t>'=F.INV.RT(0.05,B21,B22)</t>
        </is>
      </c>
    </row>
    <row r="28">
      <c r="A28" s="12" t="inlineStr">
        <is>
          <t>效果量 η²</t>
        </is>
      </c>
      <c r="B28" s="13">
        <f>B18/B20</f>
        <v/>
      </c>
      <c r="C28" s="9" t="inlineStr">
        <is>
          <t>'=B18/B20</t>
        </is>
      </c>
      <c r="D28" s="11" t="inlineStr">
        <is>
          <t>總變異中有多少比例可用「溶劑不同」解釋</t>
        </is>
      </c>
    </row>
    <row r="30">
      <c r="A30" s="11" t="inlineStr">
        <is>
          <t>檢查：SS_between + SS_within 應該等於 SS_total（B18+B19 = B20）。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  <col width="60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7" t="inlineStr">
        <is>
          <t>臨界值 q (α=0.05, k=3, df=12)</t>
        </is>
      </c>
      <c r="B2" s="14" t="n">
        <v>3.772928959</v>
      </c>
      <c r="D2" s="11" t="inlineStr">
        <is>
          <t>studentized range 分布，Excel 沒有函數，用 R 的 qtukey(0.95,3,12) 實算填入</t>
        </is>
      </c>
    </row>
    <row r="3">
      <c r="A3" s="7" t="inlineStr">
        <is>
          <t>每組 n</t>
        </is>
      </c>
      <c r="B3" s="15" t="n">
        <v>5</v>
      </c>
    </row>
    <row r="4">
      <c r="A4" s="7" t="inlineStr">
        <is>
          <t>MS_within（引用 ANOVA逐步）</t>
        </is>
      </c>
      <c r="B4" s="10">
        <f>'ANOVA逐步'!B24</f>
        <v/>
      </c>
      <c r="C4" s="9" t="inlineStr">
        <is>
          <t>'='ANOVA逐步'!B24</t>
        </is>
      </c>
    </row>
    <row r="5">
      <c r="A5" s="12" t="inlineStr">
        <is>
          <t>HSD = q × √(MS_within/n)</t>
        </is>
      </c>
      <c r="B5" s="13">
        <f>B2*SQRT(B4/B3)</f>
        <v/>
      </c>
      <c r="C5" s="9" t="inlineStr">
        <is>
          <t>'=B2*SQRT(B4/B3)</t>
        </is>
      </c>
      <c r="D5" s="11" t="inlineStr">
        <is>
          <t>兩組平均至少要差這麼多才顯著</t>
        </is>
      </c>
    </row>
    <row r="7">
      <c r="A7" s="7" t="inlineStr">
        <is>
          <t>組平均 甲醇（引用）</t>
        </is>
      </c>
      <c r="B7" s="10">
        <f>'ANOVA逐步'!B12</f>
        <v/>
      </c>
      <c r="C7" s="9" t="inlineStr">
        <is>
          <t>'='ANOVA逐步'!B12</t>
        </is>
      </c>
    </row>
    <row r="8">
      <c r="A8" s="7" t="inlineStr">
        <is>
          <t>組平均 乙醇（引用）</t>
        </is>
      </c>
      <c r="B8" s="10">
        <f>'ANOVA逐步'!B13</f>
        <v/>
      </c>
      <c r="C8" s="9" t="inlineStr">
        <is>
          <t>'='ANOVA逐步'!B13</t>
        </is>
      </c>
    </row>
    <row r="9">
      <c r="A9" s="7" t="inlineStr">
        <is>
          <t>組平均 丙酮（引用）</t>
        </is>
      </c>
      <c r="B9" s="10">
        <f>'ANOVA逐步'!B14</f>
        <v/>
      </c>
      <c r="C9" s="9" t="inlineStr">
        <is>
          <t>'='ANOVA逐步'!B14</t>
        </is>
      </c>
    </row>
    <row r="10">
      <c r="A10" s="12" t="inlineStr">
        <is>
          <t>丙酮 − 甲醇</t>
        </is>
      </c>
      <c r="B10" s="13">
        <f>B9-B7</f>
        <v/>
      </c>
      <c r="C10" s="9" t="inlineStr">
        <is>
          <t>'=B9-B7</t>
        </is>
      </c>
    </row>
    <row r="11">
      <c r="A11" s="12" t="inlineStr">
        <is>
          <t>丙酮 − 乙醇</t>
        </is>
      </c>
      <c r="B11" s="13">
        <f>B9-B8</f>
        <v/>
      </c>
      <c r="C11" s="9" t="inlineStr">
        <is>
          <t>'=B9-B8</t>
        </is>
      </c>
    </row>
    <row r="12">
      <c r="A12" s="12" t="inlineStr">
        <is>
          <t>乙醇 − 甲醇</t>
        </is>
      </c>
      <c r="B12" s="13">
        <f>B8-B7</f>
        <v/>
      </c>
      <c r="C12" s="9" t="inlineStr">
        <is>
          <t>'=B8-B7</t>
        </is>
      </c>
    </row>
    <row r="13">
      <c r="A13" s="7" t="inlineStr">
        <is>
          <t>丙酮 vs 甲醇 顯著？</t>
        </is>
      </c>
      <c r="B13" s="16">
        <f>IF(ABS(B10)&gt;B5,"顯著","不顯著")</f>
        <v/>
      </c>
      <c r="C13" s="9" t="inlineStr">
        <is>
          <t>'=IF(ABS(B10)&gt;B5,"顯著","不顯著")</t>
        </is>
      </c>
    </row>
    <row r="14">
      <c r="A14" s="7" t="inlineStr">
        <is>
          <t>丙酮 vs 乙醇 顯著？</t>
        </is>
      </c>
      <c r="B14" s="16">
        <f>IF(ABS(B11)&gt;B5,"顯著","不顯著")</f>
        <v/>
      </c>
      <c r="C14" s="9" t="inlineStr">
        <is>
          <t>'=IF(ABS(B11)&gt;B5,"顯著","不顯著")</t>
        </is>
      </c>
    </row>
    <row r="15">
      <c r="A15" s="7" t="inlineStr">
        <is>
          <t>乙醇 vs 甲醇 顯著？</t>
        </is>
      </c>
      <c r="B15" s="16">
        <f>IF(ABS(B12)&gt;B5,"顯著","不顯著")</f>
        <v/>
      </c>
      <c r="C15" s="9" t="inlineStr">
        <is>
          <t>'=IF(ABS(B12)&gt;B5,"顯著","不顯著")</t>
        </is>
      </c>
    </row>
    <row r="17">
      <c r="A17" s="11" t="inlineStr">
        <is>
          <t>Excel 資料分析工具箱沒有 Tukey HSD；q 值必須從 R（qtukey）或統計表查得，不能用 Excel 現成函數算出。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A 大廠</t>
        </is>
      </c>
      <c r="B1" s="5" t="inlineStr">
        <is>
          <t>B 大廠</t>
        </is>
      </c>
      <c r="C1" s="5" t="inlineStr">
        <is>
          <t>C 小廠</t>
        </is>
      </c>
      <c r="D1" s="5" t="inlineStr">
        <is>
          <t>D 小廠</t>
        </is>
      </c>
    </row>
    <row r="2">
      <c r="A2" s="17" t="n">
        <v>1.42</v>
      </c>
      <c r="B2" s="17" t="n">
        <v>1.52</v>
      </c>
      <c r="C2" s="17" t="n">
        <v>1.38</v>
      </c>
      <c r="D2" s="17" t="n">
        <v>1.6</v>
      </c>
    </row>
    <row r="3">
      <c r="A3" s="17" t="n">
        <v>1.45</v>
      </c>
      <c r="B3" s="17" t="n">
        <v>1.5</v>
      </c>
      <c r="C3" s="17" t="n">
        <v>1.62</v>
      </c>
      <c r="D3" s="17" t="n">
        <v>1.33</v>
      </c>
    </row>
    <row r="4">
      <c r="A4" s="17" t="n">
        <v>1.43</v>
      </c>
      <c r="B4" s="17" t="n">
        <v>1.55</v>
      </c>
      <c r="C4" s="17" t="n">
        <v>1.25</v>
      </c>
      <c r="D4" s="17" t="n">
        <v>1.78</v>
      </c>
    </row>
    <row r="5">
      <c r="A5" s="17" t="n">
        <v>1.46</v>
      </c>
      <c r="B5" s="17" t="n">
        <v>1.51</v>
      </c>
      <c r="C5" s="17" t="n">
        <v>1.71</v>
      </c>
      <c r="D5" s="17" t="n">
        <v>1.41</v>
      </c>
    </row>
    <row r="6">
      <c r="A6" s="17" t="n">
        <v>1.44</v>
      </c>
      <c r="B6" s="17" t="n">
        <v>1.53</v>
      </c>
      <c r="C6" s="17" t="n">
        <v>1.49</v>
      </c>
      <c r="D6" s="17" t="n">
        <v>1.69</v>
      </c>
    </row>
    <row r="7">
      <c r="A7" s="17" t="n">
        <v>1.41</v>
      </c>
      <c r="B7" s="17" t="n">
        <v>1.49</v>
      </c>
      <c r="C7" s="17" t="n">
        <v>1.3</v>
      </c>
      <c r="D7" s="17" t="n">
        <v>1.22</v>
      </c>
    </row>
    <row r="9">
      <c r="A9" s="5" t="inlineStr">
        <is>
          <t>項目</t>
        </is>
      </c>
      <c r="B9" s="5" t="inlineStr">
        <is>
          <t>結果</t>
        </is>
      </c>
      <c r="C9" s="5" t="inlineStr">
        <is>
          <t>公式</t>
        </is>
      </c>
      <c r="D9" s="5" t="inlineStr">
        <is>
          <t>白話說明</t>
        </is>
      </c>
    </row>
    <row r="10">
      <c r="A10" s="7" t="inlineStr">
        <is>
          <t>組平均 A</t>
        </is>
      </c>
      <c r="B10" s="10">
        <f>AVERAGE(A2:A7)</f>
        <v/>
      </c>
      <c r="C10" s="9" t="inlineStr">
        <is>
          <t>'=AVERAGE(A2:A7)</t>
        </is>
      </c>
    </row>
    <row r="11">
      <c r="A11" s="7" t="inlineStr">
        <is>
          <t>組平均 B</t>
        </is>
      </c>
      <c r="B11" s="10">
        <f>AVERAGE(B2:B7)</f>
        <v/>
      </c>
      <c r="C11" s="9" t="inlineStr">
        <is>
          <t>'=AVERAGE(B2:B7)</t>
        </is>
      </c>
    </row>
    <row r="12">
      <c r="A12" s="7" t="inlineStr">
        <is>
          <t>組平均 C</t>
        </is>
      </c>
      <c r="B12" s="10">
        <f>AVERAGE(C2:C7)</f>
        <v/>
      </c>
      <c r="C12" s="9" t="inlineStr">
        <is>
          <t>'=AVERAGE(C2:C7)</t>
        </is>
      </c>
    </row>
    <row r="13">
      <c r="A13" s="7" t="inlineStr">
        <is>
          <t>組平均 D</t>
        </is>
      </c>
      <c r="B13" s="10">
        <f>AVERAGE(D2:D7)</f>
        <v/>
      </c>
      <c r="C13" s="9" t="inlineStr">
        <is>
          <t>'=AVERAGE(D2:D7)</t>
        </is>
      </c>
    </row>
    <row r="14">
      <c r="A14" s="7" t="inlineStr">
        <is>
          <t>組 SD A</t>
        </is>
      </c>
      <c r="B14" s="10">
        <f>_xlfn.STDEV.S(A2:A7)</f>
        <v/>
      </c>
      <c r="C14" s="9" t="inlineStr">
        <is>
          <t>'=STDEV.S(A2:A7)</t>
        </is>
      </c>
    </row>
    <row r="15">
      <c r="A15" s="7" t="inlineStr">
        <is>
          <t>組 SD B</t>
        </is>
      </c>
      <c r="B15" s="10">
        <f>_xlfn.STDEV.S(B2:B7)</f>
        <v/>
      </c>
      <c r="C15" s="9" t="inlineStr">
        <is>
          <t>'=STDEV.S(B2:B7)</t>
        </is>
      </c>
    </row>
    <row r="16">
      <c r="A16" s="7" t="inlineStr">
        <is>
          <t>組 SD C</t>
        </is>
      </c>
      <c r="B16" s="10">
        <f>_xlfn.STDEV.S(C2:C7)</f>
        <v/>
      </c>
      <c r="C16" s="9" t="inlineStr">
        <is>
          <t>'=STDEV.S(C2:C7)</t>
        </is>
      </c>
      <c r="D16" s="11" t="inlineStr">
        <is>
          <t>C、D 的批次變異明顯比 A、B 大很多</t>
        </is>
      </c>
    </row>
    <row r="17">
      <c r="A17" s="7" t="inlineStr">
        <is>
          <t>組 SD D</t>
        </is>
      </c>
      <c r="B17" s="10">
        <f>_xlfn.STDEV.S(D2:D7)</f>
        <v/>
      </c>
      <c r="C17" s="9" t="inlineStr">
        <is>
          <t>'=STDEV.S(D2:D7)</t>
        </is>
      </c>
    </row>
    <row r="18">
      <c r="A18" s="7" t="inlineStr">
        <is>
          <t>最大SD ÷ 最小SD</t>
        </is>
      </c>
      <c r="B18" s="10">
        <f>MAX(B14,B15,B16,B17)/MIN(B14,B15,B16,B17)</f>
        <v/>
      </c>
      <c r="C18" s="9" t="inlineStr">
        <is>
          <t>'=MAX(B14,B15,B16,B17)/MIN(B14,B15,B16,B17)</t>
        </is>
      </c>
      <c r="D18" s="11" t="inlineStr">
        <is>
          <t>粗略檢查變異是否等質；差太多就不該用傳統 ANOVA 的等變異假設</t>
        </is>
      </c>
    </row>
    <row r="19">
      <c r="A19" s="7" t="inlineStr">
        <is>
          <t>總平均</t>
        </is>
      </c>
      <c r="B19" s="10">
        <f>AVERAGE(A2:D7)</f>
        <v/>
      </c>
      <c r="C19" s="9" t="inlineStr">
        <is>
          <t>'=AVERAGE(A2:D7)</t>
        </is>
      </c>
    </row>
    <row r="20">
      <c r="A20" s="7" t="inlineStr">
        <is>
          <t>k（組數）</t>
        </is>
      </c>
      <c r="B20" s="8" t="n">
        <v>4</v>
      </c>
    </row>
    <row r="21">
      <c r="A21" s="7" t="inlineStr">
        <is>
          <t>N（總筆數）</t>
        </is>
      </c>
      <c r="B21" s="8">
        <f>COUNT(A2:D7)</f>
        <v/>
      </c>
      <c r="C21" s="9" t="inlineStr">
        <is>
          <t>'=COUNT(A2:D7)</t>
        </is>
      </c>
    </row>
    <row r="22">
      <c r="A22" s="12" t="inlineStr">
        <is>
          <t>SS_between</t>
        </is>
      </c>
      <c r="B22" s="13">
        <f>6*(B10-B19)^2+6*(B11-B19)^2+6*(B12-B19)^2+6*(B13-B19)^2</f>
        <v/>
      </c>
      <c r="C22" s="9" t="inlineStr">
        <is>
          <t>'=6*(B10-B19)^2+6*(B11-B19)^2+6*(B12-B19)^2+6*(B13-B19)^2</t>
        </is>
      </c>
      <c r="D22" s="11" t="inlineStr">
        <is>
          <t>各組 n×(組平均−總平均)² 加總（n=6）</t>
        </is>
      </c>
    </row>
    <row r="23">
      <c r="A23" s="12" t="inlineStr">
        <is>
          <t>SS_within</t>
        </is>
      </c>
      <c r="B23" s="13">
        <f>DEVSQ(A2:A7)+DEVSQ(B2:B7)+DEVSQ(C2:C7)+DEVSQ(D2:D7)</f>
        <v/>
      </c>
      <c r="C23" s="9" t="inlineStr">
        <is>
          <t>'=DEVSQ(A2:A7)+DEVSQ(B2:B7)+DEVSQ(C2:C7)+DEVSQ(D2:D7)</t>
        </is>
      </c>
    </row>
    <row r="24">
      <c r="A24" s="7" t="inlineStr">
        <is>
          <t>df_between</t>
        </is>
      </c>
      <c r="B24" s="8">
        <f>B20-1</f>
        <v/>
      </c>
      <c r="C24" s="9" t="inlineStr">
        <is>
          <t>'=B20-1</t>
        </is>
      </c>
    </row>
    <row r="25">
      <c r="A25" s="7" t="inlineStr">
        <is>
          <t>df_within</t>
        </is>
      </c>
      <c r="B25" s="8">
        <f>B21-B20</f>
        <v/>
      </c>
      <c r="C25" s="9" t="inlineStr">
        <is>
          <t>'=B21-B20</t>
        </is>
      </c>
    </row>
    <row r="26">
      <c r="A26" s="7" t="inlineStr">
        <is>
          <t>MS_between</t>
        </is>
      </c>
      <c r="B26" s="10">
        <f>B22/B24</f>
        <v/>
      </c>
      <c r="C26" s="9" t="inlineStr">
        <is>
          <t>'=B22/B24</t>
        </is>
      </c>
    </row>
    <row r="27">
      <c r="A27" s="7" t="inlineStr">
        <is>
          <t>MS_within</t>
        </is>
      </c>
      <c r="B27" s="10">
        <f>B23/B25</f>
        <v/>
      </c>
      <c r="C27" s="9" t="inlineStr">
        <is>
          <t>'=B23/B25</t>
        </is>
      </c>
    </row>
    <row r="28">
      <c r="A28" s="12" t="inlineStr">
        <is>
          <t>傳統 ANOVA F（假設等變異）</t>
        </is>
      </c>
      <c r="B28" s="13">
        <f>B26/B27</f>
        <v/>
      </c>
      <c r="C28" s="9" t="inlineStr">
        <is>
          <t>'=B26/B27</t>
        </is>
      </c>
    </row>
    <row r="29">
      <c r="A29" s="12" t="inlineStr">
        <is>
          <t>傳統 ANOVA p</t>
        </is>
      </c>
      <c r="B29" s="13">
        <f>_xlfn.F.DIST.RT(B28,B24,B25)</f>
        <v/>
      </c>
      <c r="C29" s="9" t="inlineStr">
        <is>
          <t>'=F.DIST.RT(B28,B24,B25)</t>
        </is>
      </c>
    </row>
    <row r="31">
      <c r="A31" s="18" t="inlineStr">
        <is>
          <t>傳統 ANOVA 得到 p ≈ 0.73「沒有差異」，但這是因為 C、D 的巨大批次變異把組間差異淹沒、又違反等變異假設。R 的 Welch ANOVA（oneway.test，不假設等變異）算出 F ≈ 14.46、p ≈ 0.00057——結論完全相反！Excel 資料分析工具箱沒有 Welch ANOVA，這種情況務必回到 R。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7" t="inlineStr">
        <is>
          <t>ANOVA：總平均</t>
        </is>
      </c>
      <c r="B2" s="19">
        <f>'ANOVA逐步'!B15</f>
        <v/>
      </c>
      <c r="C2" s="19" t="n">
        <v>13.54</v>
      </c>
      <c r="D2" s="20">
        <f>IF(ABS(B2-C2)&lt;=0.00677,"✓","✗")</f>
        <v/>
      </c>
      <c r="E2" s="21" t="inlineStr">
        <is>
          <t>'ANOVA逐步'!B15</t>
        </is>
      </c>
    </row>
    <row r="3">
      <c r="A3" s="7" t="inlineStr">
        <is>
          <t>ANOVA：SS_between</t>
        </is>
      </c>
      <c r="B3" s="19">
        <f>'ANOVA逐步'!B18</f>
        <v/>
      </c>
      <c r="C3" s="19" t="n">
        <v>18.228</v>
      </c>
      <c r="D3" s="20">
        <f>IF(ABS(B3-C3)&lt;=0.009114,"✓","✗")</f>
        <v/>
      </c>
      <c r="E3" s="21" t="inlineStr">
        <is>
          <t>'ANOVA逐步'!B18</t>
        </is>
      </c>
    </row>
    <row r="4">
      <c r="A4" s="7" t="inlineStr">
        <is>
          <t>ANOVA：SS_within</t>
        </is>
      </c>
      <c r="B4" s="19">
        <f>'ANOVA逐步'!B19</f>
        <v/>
      </c>
      <c r="C4" s="19" t="n">
        <v>2.588</v>
      </c>
      <c r="D4" s="20">
        <f>IF(ABS(B4-C4)&lt;=0.001294,"✓","✗")</f>
        <v/>
      </c>
      <c r="E4" s="21" t="inlineStr">
        <is>
          <t>'ANOVA逐步'!B19</t>
        </is>
      </c>
    </row>
    <row r="5">
      <c r="A5" s="7" t="inlineStr">
        <is>
          <t>ANOVA：F 值</t>
        </is>
      </c>
      <c r="B5" s="19">
        <f>'ANOVA逐步'!B25</f>
        <v/>
      </c>
      <c r="C5" s="19" t="n">
        <v>42.25965997</v>
      </c>
      <c r="D5" s="20">
        <f>IF(ABS(B5-C5)&lt;=0.021129829985,"✓","✗")</f>
        <v/>
      </c>
      <c r="E5" s="21" t="inlineStr">
        <is>
          <t>'ANOVA逐步'!B25</t>
        </is>
      </c>
    </row>
    <row r="6">
      <c r="A6" s="7" t="inlineStr">
        <is>
          <t>ANOVA：p 值</t>
        </is>
      </c>
      <c r="B6" s="19">
        <f>'ANOVA逐步'!B26</f>
        <v/>
      </c>
      <c r="C6" s="19" t="n">
        <v>3.6931926e-06</v>
      </c>
      <c r="D6" s="20">
        <f>IF(ABS(B6-C6)&lt;=1e-09,"✓","✗")</f>
        <v/>
      </c>
      <c r="E6" s="21" t="inlineStr">
        <is>
          <t>'ANOVA逐步'!B26</t>
        </is>
      </c>
    </row>
    <row r="7">
      <c r="A7" s="7" t="inlineStr">
        <is>
          <t>ANOVA：η²</t>
        </is>
      </c>
      <c r="B7" s="19">
        <f>'ANOVA逐步'!B28</f>
        <v/>
      </c>
      <c r="C7" s="19" t="n">
        <v>0.8756725596</v>
      </c>
      <c r="D7" s="20">
        <f>IF(ABS(B7-C7)&lt;=0.0004378362798,"✓","✗")</f>
        <v/>
      </c>
      <c r="E7" s="21" t="inlineStr">
        <is>
          <t>'ANOVA逐步'!B28</t>
        </is>
      </c>
    </row>
    <row r="8">
      <c r="A8" s="7" t="inlineStr">
        <is>
          <t>Tukey：HSD</t>
        </is>
      </c>
      <c r="B8" s="19">
        <f>'TukeyHSD'!B5</f>
        <v/>
      </c>
      <c r="C8" s="19" t="n">
        <v>0.7835832407</v>
      </c>
      <c r="D8" s="20">
        <f>IF(ABS(B8-C8)&lt;=0.00039179162035,"✓","✗")</f>
        <v/>
      </c>
      <c r="E8" s="21" t="inlineStr">
        <is>
          <t>'TukeyHSD'!B5</t>
        </is>
      </c>
    </row>
    <row r="9">
      <c r="A9" s="7" t="inlineStr">
        <is>
          <t>Tukey：丙酮−甲醇</t>
        </is>
      </c>
      <c r="B9" s="19">
        <f>'TukeyHSD'!B10</f>
        <v/>
      </c>
      <c r="C9" s="19" t="n">
        <v>2.52</v>
      </c>
      <c r="D9" s="20">
        <f>IF(ABS(B9-C9)&lt;=0.00126,"✓","✗")</f>
        <v/>
      </c>
      <c r="E9" s="21" t="inlineStr">
        <is>
          <t>'TukeyHSD'!B10</t>
        </is>
      </c>
    </row>
    <row r="10">
      <c r="A10" s="7" t="inlineStr">
        <is>
          <t>Tukey：丙酮−乙醇</t>
        </is>
      </c>
      <c r="B10" s="19">
        <f>'TukeyHSD'!B11</f>
        <v/>
      </c>
      <c r="C10" s="19" t="n">
        <v>2.1</v>
      </c>
      <c r="D10" s="20">
        <f>IF(ABS(B10-C10)&lt;=0.0010500000000000002,"✓","✗")</f>
        <v/>
      </c>
      <c r="E10" s="21" t="inlineStr">
        <is>
          <t>'TukeyHSD'!B11</t>
        </is>
      </c>
    </row>
    <row r="11">
      <c r="A11" s="7" t="inlineStr">
        <is>
          <t>Tukey：乙醇−甲醇</t>
        </is>
      </c>
      <c r="B11" s="19">
        <f>'TukeyHSD'!B12</f>
        <v/>
      </c>
      <c r="C11" s="19" t="n">
        <v>0.42</v>
      </c>
      <c r="D11" s="20">
        <f>IF(ABS(B11-C11)&lt;=0.00021,"✓","✗")</f>
        <v/>
      </c>
      <c r="E11" s="21" t="inlineStr">
        <is>
          <t>'TukeyHSD'!B12</t>
        </is>
      </c>
    </row>
    <row r="12">
      <c r="A12" s="7" t="inlineStr">
        <is>
          <t>醬油：組平均 C</t>
        </is>
      </c>
      <c r="B12" s="19">
        <f>'醬油總氮(變異不等)'!B12</f>
        <v/>
      </c>
      <c r="C12" s="19" t="n">
        <v>1.458333333</v>
      </c>
      <c r="D12" s="20">
        <f>IF(ABS(B12-C12)&lt;=0.0007291666665,"✓","✗")</f>
        <v/>
      </c>
      <c r="E12" s="21" t="inlineStr">
        <is>
          <t>'醬油總氮(變異不等)'!B12</t>
        </is>
      </c>
    </row>
    <row r="13">
      <c r="A13" s="7" t="inlineStr">
        <is>
          <t>醬油：組 SD C</t>
        </is>
      </c>
      <c r="B13" s="19">
        <f>'醬油總氮(變異不等)'!B16</f>
        <v/>
      </c>
      <c r="C13" s="19" t="n">
        <v>0.1817048889</v>
      </c>
      <c r="D13" s="20">
        <f>IF(ABS(B13-C13)&lt;=9.085244445e-05,"✓","✗")</f>
        <v/>
      </c>
      <c r="E13" s="21" t="inlineStr">
        <is>
          <t>'醬油總氮(變異不等)'!B16</t>
        </is>
      </c>
    </row>
    <row r="14">
      <c r="A14" s="7" t="inlineStr">
        <is>
          <t>醬油：傳統 ANOVA F</t>
        </is>
      </c>
      <c r="B14" s="19">
        <f>'醬油總氮(變異不等)'!B28</f>
        <v/>
      </c>
      <c r="C14" s="19" t="n">
        <v>0.436043747</v>
      </c>
      <c r="D14" s="20">
        <f>IF(ABS(B14-C14)&lt;=0.0002180218735,"✓","✗")</f>
        <v/>
      </c>
      <c r="E14" s="21" t="inlineStr">
        <is>
          <t>'醬油總氮(變異不等)'!B28</t>
        </is>
      </c>
    </row>
    <row r="15">
      <c r="A15" s="7" t="inlineStr">
        <is>
          <t>醬油：傳統 ANOVA p</t>
        </is>
      </c>
      <c r="B15" s="19">
        <f>'醬油總氮(變異不等)'!B29</f>
        <v/>
      </c>
      <c r="C15" s="19" t="n">
        <v>0.7296087661</v>
      </c>
      <c r="D15" s="20">
        <f>IF(ABS(B15-C15)&lt;=0.00036480438305,"✓","✗")</f>
        <v/>
      </c>
      <c r="E15" s="21" t="inlineStr">
        <is>
          <t>'醬油總氮(變異不等)'!B29</t>
        </is>
      </c>
    </row>
    <row r="17">
      <c r="A17" s="11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