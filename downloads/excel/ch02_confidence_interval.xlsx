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CI計算" sheetId="2" state="visible" r:id="rId2"/>
    <sheet xmlns:r="http://schemas.openxmlformats.org/officeDocument/2006/relationships" name="68-95-99.7" sheetId="3" state="visible" r:id="rId3"/>
    <sheet xmlns:r="http://schemas.openxmlformats.org/officeDocument/2006/relationships" name="對照R答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0">
    <font>
      <name val="Calibri"/>
      <family val="2"/>
      <color theme="1"/>
      <sz val="11"/>
      <scheme val="minor"/>
    </font>
    <font>
      <name val="Microsoft JhengHei"/>
      <b val="1"/>
      <color rgb="000F4C81"/>
      <sz val="16"/>
    </font>
    <font>
      <name val="Microsoft JhengHei"/>
      <color rgb="0064748B"/>
      <sz val="10"/>
    </font>
    <font>
      <name val="Microsoft JhengHei"/>
      <b val="1"/>
      <color rgb="000F4C81"/>
      <sz val="12"/>
    </font>
    <font>
      <name val="Microsoft JhengHei"/>
      <sz val="11"/>
    </font>
    <font>
      <name val="Microsoft JhengHei"/>
      <b val="1"/>
      <color rgb="00FFFFFF"/>
    </font>
    <font>
      <name val="Microsoft JhengHei"/>
    </font>
    <font>
      <name val="Consolas"/>
      <color rgb="001565C0"/>
      <sz val="10"/>
    </font>
    <font>
      <name val="Microsoft JhengHei"/>
      <b val="1"/>
    </font>
    <font>
      <name val="Microsoft JhengHei"/>
      <b val="1"/>
      <sz val="11"/>
    </font>
  </fonts>
  <fills count="5">
    <fill>
      <patternFill/>
    </fill>
    <fill>
      <patternFill patternType="gray125"/>
    </fill>
    <fill>
      <patternFill patternType="solid">
        <fgColor rgb="000F4C81"/>
      </patternFill>
    </fill>
    <fill>
      <patternFill patternType="solid">
        <fgColor rgb="00FFF4C2"/>
      </patternFill>
    </fill>
    <fill>
      <patternFill patternType="solid">
        <fgColor rgb="00E3F5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2" fontId="6" fillId="3" borderId="1" pivotButton="0" quotePrefix="0" xfId="0"/>
    <xf numFmtId="0" fontId="6" fillId="0" borderId="1" pivotButton="0" quotePrefix="0" xfId="0"/>
    <xf numFmtId="1" fontId="6" fillId="0" borderId="1" pivotButton="0" quotePrefix="0" xfId="0"/>
    <xf numFmtId="0" fontId="7" fillId="0" borderId="0" pivotButton="0" quotePrefix="0" xfId="0"/>
    <xf numFmtId="0" fontId="2" fillId="0" borderId="0" applyAlignment="1" pivotButton="0" quotePrefix="0" xfId="0">
      <alignment vertical="top" wrapText="1"/>
    </xf>
    <xf numFmtId="164" fontId="6" fillId="0" borderId="1" pivotButton="0" quotePrefix="0" xfId="0"/>
    <xf numFmtId="0" fontId="8" fillId="0" borderId="1" pivotButton="0" quotePrefix="0" xfId="0"/>
    <xf numFmtId="164" fontId="8" fillId="4" borderId="1" pivotButton="0" quotePrefix="0" xfId="0"/>
    <xf numFmtId="0" fontId="9" fillId="0" borderId="0" applyAlignment="1" pivotButton="0" quotePrefix="0" xfId="0">
      <alignment vertical="top" wrapText="1"/>
    </xf>
    <xf numFmtId="164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Ch2 常態分配與信賴區間：用 Excel 算 95% 信賴區間</t>
        </is>
      </c>
    </row>
    <row r="2">
      <c r="A2" s="2" t="inlineStr">
        <is>
          <t>對應網頁：ch02.html　｜　黃色儲存格＝可以改成你自己的數據；其他是公式，請不要直接覆蓋。</t>
        </is>
      </c>
    </row>
    <row r="4">
      <c r="A4" s="3" t="inlineStr">
        <is>
          <t>這本活頁簿在做什麼</t>
        </is>
      </c>
    </row>
    <row r="5">
      <c r="A5" s="4" t="inlineStr">
        <is>
          <t>漢堡生肉水分含量測了 4 次（Nielsen Table 4.1）。我們要回答：真值最可能落在哪個範圍？</t>
        </is>
      </c>
    </row>
    <row r="6">
      <c r="A6" s="4" t="inlineStr">
        <is>
          <t>「CI計算」工作表一步一步算出平均、標準差、標準誤、t 值、95% 信賴區間；「68-95-99.7」驗證常態分配的面積口訣。</t>
        </is>
      </c>
    </row>
    <row r="7">
      <c r="A7" s="3" t="inlineStr">
        <is>
          <t>怎麼用</t>
        </is>
      </c>
    </row>
    <row r="8">
      <c r="A8" s="4" t="inlineStr">
        <is>
          <t>1. 先看「CI計算」：左邊黃色是原始數據，右邊每一列都是一個公式，C 欄把公式原文印出來給你對照。</t>
        </is>
      </c>
    </row>
    <row r="9">
      <c r="A9" s="4" t="inlineStr">
        <is>
          <t>2. 試著把黃色數據改成你自己實驗的 4 次重複，所有結果會自動重算。</t>
        </is>
      </c>
    </row>
    <row r="10">
      <c r="A10" s="4" t="inlineStr">
        <is>
          <t>3. 把 B13 的信心水準 0.95 改成 0.99，看區間變寬還是變窄。</t>
        </is>
      </c>
    </row>
    <row r="11">
      <c r="A11" s="4" t="inlineStr">
        <is>
          <t>4.「對照R答案」工作表會核對 Excel 與 R 算出來是否一致。</t>
        </is>
      </c>
    </row>
    <row r="12">
      <c r="A12" s="3" t="inlineStr">
        <is>
          <t>為什麼 n 很小要用 t 而不是 Z</t>
        </is>
      </c>
    </row>
    <row r="13">
      <c r="A13" s="4" t="inlineStr">
        <is>
          <t>只測 4 次時，樣本標準差本身就不太準；t 分布用比較大的乘數（3.182 而不是 1.96）把這份不確定補回來。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44" customWidth="1" min="3" max="3"/>
    <col width="60" customWidth="1" min="4" max="4"/>
  </cols>
  <sheetData>
    <row r="1">
      <c r="A1" s="5" t="inlineStr">
        <is>
          <t>水分 (%)</t>
        </is>
      </c>
    </row>
    <row r="2">
      <c r="A2" s="6" t="n">
        <v>64.53</v>
      </c>
    </row>
    <row r="3">
      <c r="A3" s="6" t="n">
        <v>64.45</v>
      </c>
    </row>
    <row r="4">
      <c r="A4" s="6" t="n">
        <v>65.09999999999999</v>
      </c>
    </row>
    <row r="5">
      <c r="A5" s="6" t="n">
        <v>64.78</v>
      </c>
    </row>
    <row r="7">
      <c r="A7" s="5" t="inlineStr">
        <is>
          <t>項目</t>
        </is>
      </c>
      <c r="B7" s="5" t="inlineStr">
        <is>
          <t>結果</t>
        </is>
      </c>
      <c r="C7" s="5" t="inlineStr">
        <is>
          <t>公式</t>
        </is>
      </c>
      <c r="D7" s="5" t="inlineStr">
        <is>
          <t>白話說明</t>
        </is>
      </c>
    </row>
    <row r="8">
      <c r="A8" s="7" t="inlineStr">
        <is>
          <t>n（重複次數）</t>
        </is>
      </c>
      <c r="B8" s="8">
        <f>COUNT(A2:A5)</f>
        <v/>
      </c>
      <c r="C8" s="9" t="inlineStr">
        <is>
          <t>'=COUNT(A2:A5)</t>
        </is>
      </c>
      <c r="D8" s="10" t="inlineStr">
        <is>
          <t>數一數有幾個數據</t>
        </is>
      </c>
    </row>
    <row r="9">
      <c r="A9" s="7" t="inlineStr">
        <is>
          <t>平均 x̄</t>
        </is>
      </c>
      <c r="B9" s="11">
        <f>AVERAGE(A2:A5)</f>
        <v/>
      </c>
      <c r="C9" s="9" t="inlineStr">
        <is>
          <t>'=AVERAGE(A2:A5)</t>
        </is>
      </c>
      <c r="D9" s="10" t="inlineStr">
        <is>
          <t>結果「在哪裡」</t>
        </is>
      </c>
    </row>
    <row r="10">
      <c r="A10" s="7" t="inlineStr">
        <is>
          <t>標準差 SD</t>
        </is>
      </c>
      <c r="B10" s="11">
        <f>_xlfn.STDEV.S(A2:A5)</f>
        <v/>
      </c>
      <c r="C10" s="9" t="inlineStr">
        <is>
          <t>'=STDEV.S(A2:A5)</t>
        </is>
      </c>
      <c r="D10" s="10" t="inlineStr">
        <is>
          <t>數據有多散；分母是 n−1</t>
        </is>
      </c>
    </row>
    <row r="11">
      <c r="A11" s="7" t="inlineStr">
        <is>
          <t>標準誤 SEM</t>
        </is>
      </c>
      <c r="B11" s="11">
        <f>B10/SQRT(B8)</f>
        <v/>
      </c>
      <c r="C11" s="9" t="inlineStr">
        <is>
          <t>'=B10/SQRT(B8)</t>
        </is>
      </c>
      <c r="D11" s="10" t="inlineStr">
        <is>
          <t>平均值本身有多不確定：SD ÷ √n</t>
        </is>
      </c>
    </row>
    <row r="12">
      <c r="A12" s="7" t="inlineStr">
        <is>
          <t>自由度 df</t>
        </is>
      </c>
      <c r="B12" s="8">
        <f>B8-1</f>
        <v/>
      </c>
      <c r="C12" s="9" t="inlineStr">
        <is>
          <t>'=B8-1</t>
        </is>
      </c>
      <c r="D12" s="10" t="inlineStr">
        <is>
          <t>n − 1</t>
        </is>
      </c>
    </row>
    <row r="13">
      <c r="A13" s="7" t="inlineStr">
        <is>
          <t>信心水準</t>
        </is>
      </c>
      <c r="B13" s="6" t="n">
        <v>0.95</v>
      </c>
      <c r="D13" s="10" t="inlineStr">
        <is>
          <t>可以改成 0.90 或 0.99 試試</t>
        </is>
      </c>
    </row>
    <row r="14">
      <c r="A14" s="7" t="inlineStr">
        <is>
          <t>t 值（雙尾）</t>
        </is>
      </c>
      <c r="B14" s="11">
        <f>_xlfn.T.INV.2T(1-B13,B12)</f>
        <v/>
      </c>
      <c r="C14" s="9" t="inlineStr">
        <is>
          <t>'=T.INV.2T(1-B13,B12)</t>
        </is>
      </c>
      <c r="D14" s="10" t="inlineStr">
        <is>
          <t>T.INV.2T 直接給雙尾的 t；α = 1 − 信心水準</t>
        </is>
      </c>
    </row>
    <row r="15">
      <c r="A15" s="12" t="inlineStr">
        <is>
          <t>CI 半寬</t>
        </is>
      </c>
      <c r="B15" s="13">
        <f>B14*B11</f>
        <v/>
      </c>
      <c r="C15" s="9" t="inlineStr">
        <is>
          <t>'=B14*B11</t>
        </is>
      </c>
      <c r="D15" s="10" t="inlineStr">
        <is>
          <t>t × SEM</t>
        </is>
      </c>
    </row>
    <row r="16">
      <c r="A16" s="12" t="inlineStr">
        <is>
          <t>CI 下限</t>
        </is>
      </c>
      <c r="B16" s="13">
        <f>B9-B15</f>
        <v/>
      </c>
      <c r="C16" s="9" t="inlineStr">
        <is>
          <t>'=B9-B15</t>
        </is>
      </c>
    </row>
    <row r="17">
      <c r="A17" s="12" t="inlineStr">
        <is>
          <t>CI 上限</t>
        </is>
      </c>
      <c r="B17" s="13">
        <f>B9+B15</f>
        <v/>
      </c>
      <c r="C17" s="9" t="inlineStr">
        <is>
          <t>'=B9+B15</t>
        </is>
      </c>
    </row>
    <row r="18">
      <c r="A18" s="7" t="inlineStr">
        <is>
          <t>用 Z=1.96 會算成</t>
        </is>
      </c>
      <c r="B18" s="11">
        <f>_xlfn.NORM.S.INV(0.975)*B11</f>
        <v/>
      </c>
      <c r="C18" s="9" t="inlineStr">
        <is>
          <t>'=NORM.S.INV(0.975)*B11</t>
        </is>
      </c>
      <c r="D18" s="10" t="inlineStr">
        <is>
          <t>小樣本誤用 Z 會讓區間窄得不合理（這是常見迷思）</t>
        </is>
      </c>
    </row>
    <row r="20">
      <c r="A20" s="14" t="inlineStr">
        <is>
          <t>報告寫法：64.72 ± 0.47 %（95%, n=4）。一定要附信心水準與 n。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50" customWidth="1" min="3" max="3"/>
    <col width="50" customWidth="1" min="4" max="4"/>
  </cols>
  <sheetData>
    <row r="1">
      <c r="A1" s="5" t="inlineStr">
        <is>
          <t>範圍</t>
        </is>
      </c>
      <c r="B1" s="5" t="inlineStr">
        <is>
          <t>面積</t>
        </is>
      </c>
      <c r="C1" s="5" t="inlineStr">
        <is>
          <t>公式</t>
        </is>
      </c>
      <c r="D1" s="5" t="inlineStr">
        <is>
          <t>白話說明</t>
        </is>
      </c>
    </row>
    <row r="2">
      <c r="A2" s="7" t="inlineStr">
        <is>
          <t>±1 SD</t>
        </is>
      </c>
      <c r="B2" s="11">
        <f>_xlfn.NORM.S.DIST(1,TRUE)-_xlfn.NORM.S.DIST(-1,TRUE)</f>
        <v/>
      </c>
      <c r="C2" s="9" t="inlineStr">
        <is>
          <t>'=NORM.S.DIST(1,TRUE)-NORM.S.DIST(-1,TRUE)</t>
        </is>
      </c>
      <c r="D2" s="10" t="inlineStr">
        <is>
          <t>約 68%</t>
        </is>
      </c>
    </row>
    <row r="3">
      <c r="A3" s="7" t="inlineStr">
        <is>
          <t>±2 SD</t>
        </is>
      </c>
      <c r="B3" s="11">
        <f>_xlfn.NORM.S.DIST(2,TRUE)-_xlfn.NORM.S.DIST(-2,TRUE)</f>
        <v/>
      </c>
      <c r="C3" s="9" t="inlineStr">
        <is>
          <t>'=NORM.S.DIST(2,TRUE)-NORM.S.DIST(-2,TRUE)</t>
        </is>
      </c>
      <c r="D3" s="10" t="inlineStr">
        <is>
          <t>約 95%</t>
        </is>
      </c>
    </row>
    <row r="4">
      <c r="A4" s="7" t="inlineStr">
        <is>
          <t>±3 SD</t>
        </is>
      </c>
      <c r="B4" s="11">
        <f>_xlfn.NORM.S.DIST(3,TRUE)-_xlfn.NORM.S.DIST(-3,TRUE)</f>
        <v/>
      </c>
      <c r="C4" s="9" t="inlineStr">
        <is>
          <t>'=NORM.S.DIST(3,TRUE)-NORM.S.DIST(-3,TRUE)</t>
        </is>
      </c>
      <c r="D4" s="10" t="inlineStr">
        <is>
          <t>約 99.7%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2" customWidth="1" min="4" max="4"/>
    <col width="50" customWidth="1" min="5" max="5"/>
  </cols>
  <sheetData>
    <row r="1">
      <c r="A1" s="5" t="inlineStr">
        <is>
          <t>項目</t>
        </is>
      </c>
      <c r="B1" s="5" t="inlineStr">
        <is>
          <t>Excel 算出來</t>
        </is>
      </c>
      <c r="C1" s="5" t="inlineStr">
        <is>
          <t>R 的答案</t>
        </is>
      </c>
      <c r="D1" s="5" t="inlineStr">
        <is>
          <t>一致？</t>
        </is>
      </c>
      <c r="E1" s="5" t="inlineStr">
        <is>
          <t>來源儲存格</t>
        </is>
      </c>
    </row>
    <row r="2">
      <c r="A2" s="7" t="inlineStr">
        <is>
          <t>平均</t>
        </is>
      </c>
      <c r="B2" s="15">
        <f>'CI計算'!B9</f>
        <v/>
      </c>
      <c r="C2" s="15" t="n">
        <v>64.715</v>
      </c>
      <c r="D2" s="16">
        <f>IF(ABS(B2-C2)&lt;=0.032357500000000004,"✓","✗")</f>
        <v/>
      </c>
      <c r="E2" s="17" t="inlineStr">
        <is>
          <t>'CI計算'!B9</t>
        </is>
      </c>
    </row>
    <row r="3">
      <c r="A3" s="7" t="inlineStr">
        <is>
          <t>標準差 SD</t>
        </is>
      </c>
      <c r="B3" s="15">
        <f>'CI計算'!B10</f>
        <v/>
      </c>
      <c r="C3" s="15" t="n">
        <v>0.2926317</v>
      </c>
      <c r="D3" s="16">
        <f>IF(ABS(B3-C3)&lt;=0.00014631585,"✓","✗")</f>
        <v/>
      </c>
      <c r="E3" s="17" t="inlineStr">
        <is>
          <t>'CI計算'!B10</t>
        </is>
      </c>
    </row>
    <row r="4">
      <c r="A4" s="7" t="inlineStr">
        <is>
          <t>t 值 (df=3, 95%)</t>
        </is>
      </c>
      <c r="B4" s="15">
        <f>'CI計算'!B14</f>
        <v/>
      </c>
      <c r="C4" s="15" t="n">
        <v>3.182446</v>
      </c>
      <c r="D4" s="16">
        <f>IF(ABS(B4-C4)&lt;=0.0015912230000000001,"✓","✗")</f>
        <v/>
      </c>
      <c r="E4" s="17" t="inlineStr">
        <is>
          <t>'CI計算'!B14</t>
        </is>
      </c>
    </row>
    <row r="5">
      <c r="A5" s="7" t="inlineStr">
        <is>
          <t>95% CI 半寬</t>
        </is>
      </c>
      <c r="B5" s="15">
        <f>'CI計算'!B15</f>
        <v/>
      </c>
      <c r="C5" s="15" t="n">
        <v>0.4656424</v>
      </c>
      <c r="D5" s="16">
        <f>IF(ABS(B5-C5)&lt;=0.0002328212,"✓","✗")</f>
        <v/>
      </c>
      <c r="E5" s="17" t="inlineStr">
        <is>
          <t>'CI計算'!B15</t>
        </is>
      </c>
    </row>
    <row r="6">
      <c r="A6" s="7" t="inlineStr">
        <is>
          <t>CI 下限</t>
        </is>
      </c>
      <c r="B6" s="15">
        <f>'CI計算'!B16</f>
        <v/>
      </c>
      <c r="C6" s="15" t="n">
        <v>64.24936</v>
      </c>
      <c r="D6" s="16">
        <f>IF(ABS(B6-C6)&lt;=0.032124679999999996,"✓","✗")</f>
        <v/>
      </c>
      <c r="E6" s="17" t="inlineStr">
        <is>
          <t>'CI計算'!B16</t>
        </is>
      </c>
    </row>
    <row r="7">
      <c r="A7" s="7" t="inlineStr">
        <is>
          <t>CI 上限</t>
        </is>
      </c>
      <c r="B7" s="15">
        <f>'CI計算'!B17</f>
        <v/>
      </c>
      <c r="C7" s="15" t="n">
        <v>65.18064</v>
      </c>
      <c r="D7" s="16">
        <f>IF(ABS(B7-C7)&lt;=0.03259032,"✓","✗")</f>
        <v/>
      </c>
      <c r="E7" s="17" t="inlineStr">
        <is>
          <t>'CI計算'!B17</t>
        </is>
      </c>
    </row>
    <row r="8">
      <c r="A8" s="7" t="inlineStr">
        <is>
          <t>±1 SD 面積</t>
        </is>
      </c>
      <c r="B8" s="15">
        <f>'68-95-99.7'!B2</f>
        <v/>
      </c>
      <c r="C8" s="15" t="n">
        <v>0.6826894999999999</v>
      </c>
      <c r="D8" s="16">
        <f>IF(ABS(B8-C8)&lt;=0.00034134475,"✓","✗")</f>
        <v/>
      </c>
      <c r="E8" s="17" t="inlineStr">
        <is>
          <t>'68-95-99.7'!B2</t>
        </is>
      </c>
    </row>
    <row r="9">
      <c r="A9" s="7" t="inlineStr">
        <is>
          <t>±2 SD 面積</t>
        </is>
      </c>
      <c r="B9" s="15">
        <f>'68-95-99.7'!B3</f>
        <v/>
      </c>
      <c r="C9" s="15" t="n">
        <v>0.9544997</v>
      </c>
      <c r="D9" s="16">
        <f>IF(ABS(B9-C9)&lt;=0.00047724985,"✓","✗")</f>
        <v/>
      </c>
      <c r="E9" s="17" t="inlineStr">
        <is>
          <t>'68-95-99.7'!B3</t>
        </is>
      </c>
    </row>
    <row r="11">
      <c r="A11" s="10" t="inlineStr">
        <is>
          <t>如果你改了黃色儲存格的數據，這裡當然會變成 ✗——那是因為 R 的答案是用原始教材數據算的。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2026-09-17T13:57:13Z</dcterms:created>
  <dcterms:modified xmlns:dcterms="http://purl.org/dc/terms/" xmlns:xsi="http://www.w3.org/2001/XMLSchema-instance" xsi:type="dcterms:W3CDTF">2026-09-17T13:57:13Z</dcterms:modified>
</cp:coreProperties>
</file>