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LOD_LOQ" sheetId="2" state="visible" r:id="rId2"/>
    <sheet xmlns:r="http://schemas.openxmlformats.org/officeDocument/2006/relationships" name="MDL" sheetId="3" state="visible" r:id="rId3"/>
    <sheet xmlns:r="http://schemas.openxmlformats.org/officeDocument/2006/relationships" name="Shewhart_CuSum" sheetId="4" state="visible" r:id="rId4"/>
    <sheet xmlns:r="http://schemas.openxmlformats.org/officeDocument/2006/relationships" name="對照R答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"/>
    <numFmt numFmtId="166" formatCode="0.000"/>
  </numFmts>
  <fonts count="10">
    <font>
      <name val="Calibri"/>
      <family val="2"/>
      <color theme="1"/>
      <sz val="11"/>
      <scheme val="minor"/>
    </font>
    <font>
      <name val="Microsoft JhengHei"/>
      <b val="1"/>
      <color rgb="000F4C81"/>
      <sz val="16"/>
    </font>
    <font>
      <name val="Microsoft JhengHei"/>
      <color rgb="0064748B"/>
      <sz val="10"/>
    </font>
    <font>
      <name val="Microsoft JhengHei"/>
      <b val="1"/>
      <color rgb="000F4C81"/>
      <sz val="12"/>
    </font>
    <font>
      <name val="Microsoft JhengHei"/>
      <sz val="11"/>
    </font>
    <font>
      <name val="Microsoft JhengHei"/>
      <b val="1"/>
      <color rgb="00FFFFFF"/>
    </font>
    <font>
      <name val="Microsoft JhengHei"/>
    </font>
    <font>
      <name val="Consolas"/>
      <color rgb="001565C0"/>
      <sz val="10"/>
    </font>
    <font>
      <name val="Microsoft JhengHei"/>
      <b val="1"/>
    </font>
    <font>
      <name val="Microsoft JhengHei"/>
      <b val="1"/>
      <sz val="11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FF4C2"/>
      </patternFill>
    </fill>
    <fill>
      <patternFill patternType="solid">
        <fgColor rgb="00E3F5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164" fontId="6" fillId="3" borderId="1" pivotButton="0" quotePrefix="0" xfId="0"/>
    <xf numFmtId="0" fontId="6" fillId="0" borderId="1" pivotButton="0" quotePrefix="0" xfId="0"/>
    <xf numFmtId="1" fontId="6" fillId="0" borderId="1" pivotButton="0" quotePrefix="0" xfId="0"/>
    <xf numFmtId="0" fontId="7" fillId="0" borderId="0" pivotButton="0" quotePrefix="0" xfId="0"/>
    <xf numFmtId="164" fontId="6" fillId="0" borderId="1" pivotButton="0" quotePrefix="0" xfId="0"/>
    <xf numFmtId="0" fontId="2" fillId="0" borderId="0" applyAlignment="1" pivotButton="0" quotePrefix="0" xfId="0">
      <alignment vertical="top" wrapText="1"/>
    </xf>
    <xf numFmtId="0" fontId="8" fillId="0" borderId="1" pivotButton="0" quotePrefix="0" xfId="0"/>
    <xf numFmtId="164" fontId="8" fillId="4" borderId="1" pivotButton="0" quotePrefix="0" xfId="0"/>
    <xf numFmtId="0" fontId="9" fillId="0" borderId="0" applyAlignment="1" pivotButton="0" quotePrefix="0" xfId="0">
      <alignment vertical="top" wrapText="1"/>
    </xf>
    <xf numFmtId="2" fontId="6" fillId="3" borderId="1" pivotButton="0" quotePrefix="0" xfId="0"/>
    <xf numFmtId="165" fontId="6" fillId="0" borderId="1" pivotButton="0" quotePrefix="0" xfId="0"/>
    <xf numFmtId="166" fontId="6" fillId="0" borderId="1" pivotButton="0" quotePrefix="0" xfId="0"/>
    <xf numFmtId="166" fontId="6" fillId="3" borderId="1" pivotButton="0" quotePrefix="0" xfId="0"/>
    <xf numFmtId="0" fontId="6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Ch3 方法能力指標與品質管制：LOD/LOQ、MDL、Shewhart 與 CuSum 管制圖</t>
        </is>
      </c>
    </row>
    <row r="2">
      <c r="A2" s="2" t="inlineStr">
        <is>
          <t>對應網頁：ch03.html　｜　黃色儲存格＝可以改成你自己的數據；其他是公式，請不要直接覆蓋。</t>
        </is>
      </c>
    </row>
    <row r="4">
      <c r="A4" s="3" t="inlineStr">
        <is>
          <t>這本活頁簿在做什麼</t>
        </is>
      </c>
    </row>
    <row r="5">
      <c r="A5" s="4" t="inlineStr">
        <is>
          <t>「LOD_LOQ」工作表：對空白樣品測 20 次，用空白的平均與標準差算出偵測極限 LOD（X̄+3s）與定量極限 LOQ（X̄+10s）。</t>
        </is>
      </c>
    </row>
    <row r="6">
      <c r="A6" s="4" t="inlineStr">
        <is>
          <t>「MDL」工作表：用 7 次加標基質樣品的重複，依 EPA 定義算方法偵測極限 MDL = t(n−1,0.99)×SD。</t>
        </is>
      </c>
    </row>
    <row r="7">
      <c r="A7" s="4" t="inlineStr">
        <is>
          <t>「Shewhart_CuSum」工作表：25 天的 QC 標準品（蛋白質 12.00%）監控數據——這組數據不是隨手打的，是 R 用 set.seed(7) 產生後，人為加入第 8~11 天的系統性漂移（+0.28%）與第 18 天的單點爆表（12.62%），目的是讓你同時練到「連續同側」與「單點超界」兩種訊號。管制界限用固定的歷史 s=0.15，並用 IF 公式自動標記哪些天超出 ±2s 警告界限、哪些天超出 ±3s 行動界限；CuSum 欄用累加公式，示範它比 Shewhart 更早抓到微小漂移。</t>
        </is>
      </c>
    </row>
    <row r="8">
      <c r="A8" s="3" t="inlineStr">
        <is>
          <t>怎麼用</t>
        </is>
      </c>
    </row>
    <row r="9">
      <c r="A9" s="4" t="inlineStr">
        <is>
          <t>1. 黃色是原始數據（空白讀值、加標讀值、QC 值），其他都是活公式，C 欄印出公式原文對照。</t>
        </is>
      </c>
    </row>
    <row r="10">
      <c r="A10" s="4" t="inlineStr">
        <is>
          <t>2.「Shewhart_CuSum」把 B2 的目標值、B3 的歷史 s 改一改，看警告線／行動線怎麼跟著平移或變寬變窄。</t>
        </is>
      </c>
    </row>
    <row r="11">
      <c r="A11" s="4" t="inlineStr">
        <is>
          <t>3. 試著把某一天的 QC 值改到超過 12.45 或低於 11.55，看 D 欄的判定欄位會不會自動跳出「超出±3s」。</t>
        </is>
      </c>
    </row>
    <row r="12">
      <c r="A12" s="4" t="inlineStr">
        <is>
          <t>4.「對照R答案」工作表核對 Excel 算出來的與 R 的答案是否一致。</t>
        </is>
      </c>
    </row>
    <row r="13">
      <c r="A13" s="3" t="inlineStr">
        <is>
          <t>用 Excel 資料分析工具箱算敘述統計（選用）</t>
        </is>
      </c>
    </row>
    <row r="14">
      <c r="A14" s="4" t="inlineStr">
        <is>
          <t>檔案 → 選項 → 增益集 → 管理『Excel 增益集』→ 勾選『分析工具箱』→ 確定，『資料』分頁會多一個『資料分析』按鈕。</t>
        </is>
      </c>
    </row>
    <row r="15">
      <c r="A15" s="4" t="inlineStr">
        <is>
          <t>點『資料分析』→『敘述統計』→ 輸入範圍框選空白 20 個讀值 → 勾選『摘要統計』→ 確定，輸出表的『平均值』與『標準差』就對應 LOD/LOQ 公式裡的 X̄_Blk 與 s_Blk，你還是要自己在旁邊多打一格 =平均值+3*標準差 才算出 LOD。</t>
        </is>
      </c>
    </row>
    <row r="16">
      <c r="A16" s="4" t="inlineStr">
        <is>
          <t>⚠️ 工具箱輸出是『靜態的』：改了空白讀值，這張輸出表不會自動更新，要重新跑一次。本活頁簿「LOD_LOQ」工作表全部是公式，數據一改就自動重算。</t>
        </is>
      </c>
    </row>
    <row r="17">
      <c r="A17" s="3" t="inlineStr">
        <is>
          <t>本章最重要的觀念</t>
        </is>
      </c>
    </row>
    <row r="18">
      <c r="A18" s="4" t="inlineStr">
        <is>
          <t>管制界限（±2s／±3s）一定要用『方法平常本來的變異』——也就是方法確效或歷史穩定期得到的 s（本例固定 s=0.15）。千萬不要拿『正在監控的這一批』QC 值自己算 STDEV 當管制界限：一旦這批資料已經出現漂移或爆表，異常點會把 STDEV 一起拉大，界限跟著變寬，反而更抓不到問題——等於拿問題本身去稀釋判斷問題的基準。這就是為什麼「Shewhart_CuSum」工作表的歷史 s 是一個獨立的黃色輸入格，不是 =STDEV(QC值)。</t>
        </is>
      </c>
    </row>
    <row r="19">
      <c r="A19" s="4" t="inlineStr">
        <is>
          <t>另一個重點：管制圖不是只看『有沒有點超出 ±3s』——連續多點落在中心線同側（本例第 7~16 天）本身就是系統性偏移的訊號，CuSum 欄的累加曲線會比 Shewhart 更早、更明顯地把這種小漂移顯示出來。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4" customWidth="1" min="3" max="3"/>
    <col width="60" customWidth="1" min="4" max="4"/>
  </cols>
  <sheetData>
    <row r="1">
      <c r="A1" s="5" t="inlineStr">
        <is>
          <t>空白讀值 (mg/L)</t>
        </is>
      </c>
    </row>
    <row r="2">
      <c r="A2" s="6" t="n">
        <v>0.011</v>
      </c>
    </row>
    <row r="3">
      <c r="A3" s="6" t="n">
        <v>0.0068</v>
      </c>
    </row>
    <row r="4">
      <c r="A4" s="6" t="n">
        <v>0.008800000000000001</v>
      </c>
    </row>
    <row r="5">
      <c r="A5" s="6" t="n">
        <v>0.0094</v>
      </c>
    </row>
    <row r="6">
      <c r="A6" s="6" t="n">
        <v>0.0089</v>
      </c>
    </row>
    <row r="7">
      <c r="A7" s="6" t="n">
        <v>0.0078</v>
      </c>
    </row>
    <row r="8">
      <c r="A8" s="6" t="n">
        <v>0.0113</v>
      </c>
    </row>
    <row r="9">
      <c r="A9" s="6" t="n">
        <v>0.0078</v>
      </c>
    </row>
    <row r="10">
      <c r="A10" s="6" t="n">
        <v>0.0124</v>
      </c>
    </row>
    <row r="11">
      <c r="A11" s="6" t="n">
        <v>0.007900000000000001</v>
      </c>
    </row>
    <row r="12">
      <c r="A12" s="6" t="n">
        <v>0.0109</v>
      </c>
    </row>
    <row r="13">
      <c r="A13" s="6" t="n">
        <v>0.013</v>
      </c>
    </row>
    <row r="14">
      <c r="A14" s="6" t="n">
        <v>0.0049</v>
      </c>
    </row>
    <row r="15">
      <c r="A15" s="6" t="n">
        <v>0.0074</v>
      </c>
    </row>
    <row r="16">
      <c r="A16" s="6" t="n">
        <v>0.0077</v>
      </c>
    </row>
    <row r="17">
      <c r="A17" s="6" t="n">
        <v>0.0094</v>
      </c>
    </row>
    <row r="18">
      <c r="A18" s="6" t="n">
        <v>0.0074</v>
      </c>
    </row>
    <row r="19">
      <c r="A19" s="6" t="n">
        <v>0.0022</v>
      </c>
    </row>
    <row r="20">
      <c r="A20" s="6" t="n">
        <v>0.0026</v>
      </c>
    </row>
    <row r="21">
      <c r="A21" s="6" t="n">
        <v>0.0109</v>
      </c>
    </row>
    <row r="23">
      <c r="A23" s="5" t="inlineStr">
        <is>
          <t>項目</t>
        </is>
      </c>
      <c r="B23" s="5" t="inlineStr">
        <is>
          <t>結果</t>
        </is>
      </c>
      <c r="C23" s="5" t="inlineStr">
        <is>
          <t>公式</t>
        </is>
      </c>
      <c r="D23" s="5" t="inlineStr">
        <is>
          <t>說明</t>
        </is>
      </c>
    </row>
    <row r="24">
      <c r="A24" s="7" t="inlineStr">
        <is>
          <t>n（空白測定次數）</t>
        </is>
      </c>
      <c r="B24" s="8">
        <f>COUNT(A2:A21)</f>
        <v/>
      </c>
      <c r="C24" s="9" t="inlineStr">
        <is>
          <t>'=COUNT(A2:A21)</t>
        </is>
      </c>
    </row>
    <row r="25">
      <c r="A25" s="7" t="inlineStr">
        <is>
          <t>空白平均 X̄Blk</t>
        </is>
      </c>
      <c r="B25" s="10">
        <f>AVERAGE(A2:A21)</f>
        <v/>
      </c>
      <c r="C25" s="9" t="inlineStr">
        <is>
          <t>'=AVERAGE(A2:A21)</t>
        </is>
      </c>
      <c r="D25" s="11" t="inlineStr">
        <is>
          <t>X̄_Blk</t>
        </is>
      </c>
    </row>
    <row r="26">
      <c r="A26" s="7" t="inlineStr">
        <is>
          <t>空白標準差 sBlk</t>
        </is>
      </c>
      <c r="B26" s="10">
        <f>_xlfn.STDEV.S(A2:A21)</f>
        <v/>
      </c>
      <c r="C26" s="9" t="inlineStr">
        <is>
          <t>'=STDEV.S(A2:A21)</t>
        </is>
      </c>
      <c r="D26" s="11" t="inlineStr">
        <is>
          <t>s_Blk（n−1）</t>
        </is>
      </c>
    </row>
    <row r="27">
      <c r="A27" s="12" t="inlineStr">
        <is>
          <t>偵測極限 LOD</t>
        </is>
      </c>
      <c r="B27" s="13">
        <f>B25+3*B26</f>
        <v/>
      </c>
      <c r="C27" s="9" t="inlineStr">
        <is>
          <t>'=B25+3*B26</t>
        </is>
      </c>
      <c r="D27" s="11" t="inlineStr">
        <is>
          <t>X̄Blk + 3×sBlk（Nielsen式4.19）</t>
        </is>
      </c>
    </row>
    <row r="28">
      <c r="A28" s="12" t="inlineStr">
        <is>
          <t>定量極限 LOQ</t>
        </is>
      </c>
      <c r="B28" s="13">
        <f>B25+10*B26</f>
        <v/>
      </c>
      <c r="C28" s="9" t="inlineStr">
        <is>
          <t>'=B25+10*B26</t>
        </is>
      </c>
      <c r="D28" s="11" t="inlineStr">
        <is>
          <t>X̄Blk + 10×sBlk</t>
        </is>
      </c>
    </row>
    <row r="30">
      <c r="A30" s="14" t="inlineStr">
        <is>
          <t>解讀：低於 LOD → 報「未檢出 ND」；LOD~LOQ 之間只能定性、數字不可靠；高於 LOQ 才能安心報定量值。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4" customWidth="1" min="3" max="3"/>
    <col width="60" customWidth="1" min="4" max="4"/>
  </cols>
  <sheetData>
    <row r="1">
      <c r="A1" s="5" t="inlineStr">
        <is>
          <t>加標基質讀值 (mg/L)</t>
        </is>
      </c>
    </row>
    <row r="2">
      <c r="A2" s="15" t="n">
        <v>1.02</v>
      </c>
    </row>
    <row r="3">
      <c r="A3" s="15" t="n">
        <v>0.98</v>
      </c>
    </row>
    <row r="4">
      <c r="A4" s="15" t="n">
        <v>1.05</v>
      </c>
    </row>
    <row r="5">
      <c r="A5" s="15" t="n">
        <v>0.99</v>
      </c>
    </row>
    <row r="6">
      <c r="A6" s="15" t="n">
        <v>1.01</v>
      </c>
    </row>
    <row r="7">
      <c r="A7" s="15" t="n">
        <v>0.97</v>
      </c>
    </row>
    <row r="8">
      <c r="A8" s="15" t="n">
        <v>1.03</v>
      </c>
    </row>
    <row r="10">
      <c r="A10" s="5" t="inlineStr">
        <is>
          <t>項目</t>
        </is>
      </c>
      <c r="B10" s="5" t="inlineStr">
        <is>
          <t>結果</t>
        </is>
      </c>
      <c r="C10" s="5" t="inlineStr">
        <is>
          <t>公式</t>
        </is>
      </c>
      <c r="D10" s="5" t="inlineStr">
        <is>
          <t>說明</t>
        </is>
      </c>
    </row>
    <row r="11">
      <c r="A11" s="7" t="inlineStr">
        <is>
          <t>n（加標重複次數）</t>
        </is>
      </c>
      <c r="B11" s="8">
        <f>COUNT(A2:A8)</f>
        <v/>
      </c>
      <c r="C11" s="9" t="inlineStr">
        <is>
          <t>'=COUNT(A2:A8)</t>
        </is>
      </c>
      <c r="D11" s="11" t="inlineStr">
        <is>
          <t>EPA 定義要求 n≥7</t>
        </is>
      </c>
    </row>
    <row r="12">
      <c r="A12" s="7" t="inlineStr">
        <is>
          <t>加標平均</t>
        </is>
      </c>
      <c r="B12" s="10">
        <f>AVERAGE(A2:A8)</f>
        <v/>
      </c>
      <c r="C12" s="9" t="inlineStr">
        <is>
          <t>'=AVERAGE(A2:A8)</t>
        </is>
      </c>
    </row>
    <row r="13">
      <c r="A13" s="7" t="inlineStr">
        <is>
          <t>加標標準差 SD</t>
        </is>
      </c>
      <c r="B13" s="10">
        <f>_xlfn.STDEV.S(A2:A8)</f>
        <v/>
      </c>
      <c r="C13" s="9" t="inlineStr">
        <is>
          <t>'=STDEV.S(A2:A8)</t>
        </is>
      </c>
    </row>
    <row r="14">
      <c r="A14" s="7" t="inlineStr">
        <is>
          <t>t(n−1, 0.99) 單尾</t>
        </is>
      </c>
      <c r="B14" s="16">
        <f>_xlfn.T.INV(0.99,B11-1)</f>
        <v/>
      </c>
      <c r="C14" s="9" t="inlineStr">
        <is>
          <t>'=T.INV(0.99,B11-1)</t>
        </is>
      </c>
      <c r="D14" s="11" t="inlineStr">
        <is>
          <t>R 的 qt(0.99,6) 是單尾 99% 分位數，Excel 要用單尾的 T.INV(機率,自由度)，不是雙尾的 T.INV.2T！</t>
        </is>
      </c>
    </row>
    <row r="15">
      <c r="A15" s="12" t="inlineStr">
        <is>
          <t>方法偵測極限 MDL</t>
        </is>
      </c>
      <c r="B15" s="13">
        <f>B14*B13</f>
        <v/>
      </c>
      <c r="C15" s="9" t="inlineStr">
        <is>
          <t>'=B14*B13</t>
        </is>
      </c>
      <c r="D15" s="11" t="inlineStr">
        <is>
          <t>t(n-1,0.99) × SD，涵蓋整個方法流程的變異</t>
        </is>
      </c>
    </row>
    <row r="17">
      <c r="A17" s="14" t="inlineStr">
        <is>
          <t>MDL 用『含分析物的真實基質樣品』重複分析，比只看空白雜訊的 LOD 更嚴謹，涵蓋萃取、淨化、上機整個流程的變異。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0" customWidth="1" min="4" max="4"/>
    <col width="50" customWidth="1" min="5" max="5"/>
  </cols>
  <sheetData>
    <row r="1">
      <c r="A1" s="5" t="inlineStr">
        <is>
          <t>項目</t>
        </is>
      </c>
      <c r="B1" s="5" t="inlineStr">
        <is>
          <t>結果</t>
        </is>
      </c>
      <c r="C1" s="5" t="inlineStr">
        <is>
          <t>公式</t>
        </is>
      </c>
      <c r="D1" s="5" t="inlineStr">
        <is>
          <t>說明</t>
        </is>
      </c>
    </row>
    <row r="2">
      <c r="A2" s="7" t="inlineStr">
        <is>
          <t>目標值（中心線 CL）</t>
        </is>
      </c>
      <c r="B2" s="15" t="n">
        <v>12</v>
      </c>
      <c r="D2" s="11" t="inlineStr">
        <is>
          <t>QC 標準品的已知蛋白質% 標示值</t>
        </is>
      </c>
    </row>
    <row r="3">
      <c r="A3" s="7" t="inlineStr">
        <is>
          <t>歷史 s（方法確效期得到）</t>
        </is>
      </c>
      <c r="B3" s="15" t="n">
        <v>0.15</v>
      </c>
      <c r="D3" s="11" t="inlineStr">
        <is>
          <t>固定值！不要用本批 QC 的 STDEV，否則異常點會把界限一起拉寬</t>
        </is>
      </c>
    </row>
    <row r="4">
      <c r="A4" s="7" t="inlineStr">
        <is>
          <t>上警告界限 UWL (+2s)</t>
        </is>
      </c>
      <c r="B4" s="17">
        <f>B2+2*B3</f>
        <v/>
      </c>
      <c r="C4" s="9" t="inlineStr">
        <is>
          <t>'=B2+2*B3</t>
        </is>
      </c>
    </row>
    <row r="5">
      <c r="A5" s="7" t="inlineStr">
        <is>
          <t>下警告界限 LWL (−2s)</t>
        </is>
      </c>
      <c r="B5" s="17">
        <f>B2-2*B3</f>
        <v/>
      </c>
      <c r="C5" s="9" t="inlineStr">
        <is>
          <t>'=B2-2*B3</t>
        </is>
      </c>
    </row>
    <row r="6">
      <c r="A6" s="7" t="inlineStr">
        <is>
          <t>上行動界限 UAL (+3s)</t>
        </is>
      </c>
      <c r="B6" s="17">
        <f>B2+3*B3</f>
        <v/>
      </c>
      <c r="C6" s="9" t="inlineStr">
        <is>
          <t>'=B2+3*B3</t>
        </is>
      </c>
    </row>
    <row r="7">
      <c r="A7" s="7" t="inlineStr">
        <is>
          <t>下行動界限 LAL (−3s)</t>
        </is>
      </c>
      <c r="B7" s="17">
        <f>B2-3*B3</f>
        <v/>
      </c>
      <c r="C7" s="9" t="inlineStr">
        <is>
          <t>'=B2-3*B3</t>
        </is>
      </c>
    </row>
    <row r="9">
      <c r="A9" s="5" t="inlineStr">
        <is>
          <t>分析日</t>
        </is>
      </c>
      <c r="B9" s="5" t="inlineStr">
        <is>
          <t>QC值(%)</t>
        </is>
      </c>
      <c r="C9" s="5" t="inlineStr">
        <is>
          <t>CuSum累積偏差</t>
        </is>
      </c>
      <c r="D9" s="5" t="inlineStr">
        <is>
          <t>判定</t>
        </is>
      </c>
    </row>
    <row r="10">
      <c r="A10" s="7" t="n">
        <v>1</v>
      </c>
      <c r="B10" s="18" t="n">
        <v>12.343</v>
      </c>
      <c r="C10" s="17">
        <f>B10-B2</f>
        <v/>
      </c>
      <c r="D10" s="19">
        <f>IF(OR(B10&gt;B6,B10&lt;B7),"超出±3s(行動)",IF(OR(B10&gt;B4,B10&lt;B5),"超出±2s(警告)","正常"))</f>
        <v/>
      </c>
    </row>
    <row r="11">
      <c r="A11" s="7" t="n">
        <v>2</v>
      </c>
      <c r="B11" s="18" t="n">
        <v>11.82</v>
      </c>
      <c r="C11" s="17">
        <f>C10+(B11-B2)</f>
        <v/>
      </c>
      <c r="D11" s="19">
        <f>IF(OR(B11&gt;B6,B11&lt;B7),"超出±3s(行動)",IF(OR(B11&gt;B4,B11&lt;B5),"超出±2s(警告)","正常"))</f>
        <v/>
      </c>
    </row>
    <row r="12">
      <c r="A12" s="7" t="n">
        <v>3</v>
      </c>
      <c r="B12" s="18" t="n">
        <v>11.896</v>
      </c>
      <c r="C12" s="17">
        <f>C11+(B12-B2)</f>
        <v/>
      </c>
      <c r="D12" s="19">
        <f>IF(OR(B12&gt;B6,B12&lt;B7),"超出±3s(行動)",IF(OR(B12&gt;B4,B12&lt;B5),"超出±2s(警告)","正常"))</f>
        <v/>
      </c>
    </row>
    <row r="13">
      <c r="A13" s="7" t="n">
        <v>4</v>
      </c>
      <c r="B13" s="18" t="n">
        <v>11.938</v>
      </c>
      <c r="C13" s="17">
        <f>C12+(B13-B2)</f>
        <v/>
      </c>
      <c r="D13" s="19">
        <f>IF(OR(B13&gt;B6,B13&lt;B7),"超出±3s(行動)",IF(OR(B13&gt;B4,B13&lt;B5),"超出±2s(警告)","正常"))</f>
        <v/>
      </c>
    </row>
    <row r="14">
      <c r="A14" s="7" t="n">
        <v>5</v>
      </c>
      <c r="B14" s="18" t="n">
        <v>11.854</v>
      </c>
      <c r="C14" s="17">
        <f>C13+(B14-B2)</f>
        <v/>
      </c>
      <c r="D14" s="19">
        <f>IF(OR(B14&gt;B6,B14&lt;B7),"超出±3s(行動)",IF(OR(B14&gt;B4,B14&lt;B5),"超出±2s(警告)","正常"))</f>
        <v/>
      </c>
    </row>
    <row r="15">
      <c r="A15" s="7" t="n">
        <v>6</v>
      </c>
      <c r="B15" s="18" t="n">
        <v>11.858</v>
      </c>
      <c r="C15" s="17">
        <f>C14+(B15-B2)</f>
        <v/>
      </c>
      <c r="D15" s="19">
        <f>IF(OR(B15&gt;B6,B15&lt;B7),"超出±3s(行動)",IF(OR(B15&gt;B4,B15&lt;B5),"超出±2s(警告)","正常"))</f>
        <v/>
      </c>
    </row>
    <row r="16">
      <c r="A16" s="7" t="n">
        <v>7</v>
      </c>
      <c r="B16" s="18" t="n">
        <v>12.112</v>
      </c>
      <c r="C16" s="17">
        <f>C15+(B16-B2)</f>
        <v/>
      </c>
      <c r="D16" s="19">
        <f>IF(OR(B16&gt;B6,B16&lt;B7),"超出±3s(行動)",IF(OR(B16&gt;B4,B16&lt;B5),"超出±2s(警告)","正常"))</f>
        <v/>
      </c>
    </row>
    <row r="17">
      <c r="A17" s="7" t="n">
        <v>8</v>
      </c>
      <c r="B17" s="18" t="n">
        <v>12.262</v>
      </c>
      <c r="C17" s="17">
        <f>C16+(B17-B2)</f>
        <v/>
      </c>
      <c r="D17" s="19">
        <f>IF(OR(B17&gt;B6,B17&lt;B7),"超出±3s(行動)",IF(OR(B17&gt;B4,B17&lt;B5),"超出±2s(警告)","正常"))</f>
        <v/>
      </c>
    </row>
    <row r="18">
      <c r="A18" s="7" t="n">
        <v>9</v>
      </c>
      <c r="B18" s="18" t="n">
        <v>12.303</v>
      </c>
      <c r="C18" s="17">
        <f>C17+(B18-B2)</f>
        <v/>
      </c>
      <c r="D18" s="19">
        <f>IF(OR(B18&gt;B6,B18&lt;B7),"超出±3s(行動)",IF(OR(B18&gt;B4,B18&lt;B5),"超出±2s(警告)","正常"))</f>
        <v/>
      </c>
    </row>
    <row r="19">
      <c r="A19" s="7" t="n">
        <v>10</v>
      </c>
      <c r="B19" s="18" t="n">
        <v>12.608</v>
      </c>
      <c r="C19" s="17">
        <f>C18+(B19-B2)</f>
        <v/>
      </c>
      <c r="D19" s="19">
        <f>IF(OR(B19&gt;B6,B19&lt;B7),"超出±3s(行動)",IF(OR(B19&gt;B4,B19&lt;B5),"超出±2s(警告)","正常"))</f>
        <v/>
      </c>
    </row>
    <row r="20">
      <c r="A20" s="7" t="n">
        <v>11</v>
      </c>
      <c r="B20" s="18" t="n">
        <v>12.334</v>
      </c>
      <c r="C20" s="17">
        <f>C19+(B20-B2)</f>
        <v/>
      </c>
      <c r="D20" s="19">
        <f>IF(OR(B20&gt;B6,B20&lt;B7),"超出±3s(行動)",IF(OR(B20&gt;B4,B20&lt;B5),"超出±2s(警告)","正常"))</f>
        <v/>
      </c>
    </row>
    <row r="21">
      <c r="A21" s="7" t="n">
        <v>12</v>
      </c>
      <c r="B21" s="18" t="n">
        <v>12.408</v>
      </c>
      <c r="C21" s="17">
        <f>C20+(B21-B2)</f>
        <v/>
      </c>
      <c r="D21" s="19">
        <f>IF(OR(B21&gt;B6,B21&lt;B7),"超出±3s(行動)",IF(OR(B21&gt;B4,B21&lt;B5),"超出±2s(警告)","正常"))</f>
        <v/>
      </c>
    </row>
    <row r="22">
      <c r="A22" s="7" t="n">
        <v>13</v>
      </c>
      <c r="B22" s="18" t="n">
        <v>12.342</v>
      </c>
      <c r="C22" s="17">
        <f>C21+(B22-B2)</f>
        <v/>
      </c>
      <c r="D22" s="19">
        <f>IF(OR(B22&gt;B6,B22&lt;B7),"超出±3s(行動)",IF(OR(B22&gt;B4,B22&lt;B5),"超出±2s(警告)","正常"))</f>
        <v/>
      </c>
    </row>
    <row r="23">
      <c r="A23" s="7" t="n">
        <v>14</v>
      </c>
      <c r="B23" s="18" t="n">
        <v>12.049</v>
      </c>
      <c r="C23" s="17">
        <f>C22+(B23-B2)</f>
        <v/>
      </c>
      <c r="D23" s="19">
        <f>IF(OR(B23&gt;B6,B23&lt;B7),"超出±3s(行動)",IF(OR(B23&gt;B4,B23&lt;B5),"超出±2s(警告)","正常"))</f>
        <v/>
      </c>
    </row>
    <row r="24">
      <c r="A24" s="7" t="n">
        <v>15</v>
      </c>
      <c r="B24" s="18" t="n">
        <v>12.284</v>
      </c>
      <c r="C24" s="17">
        <f>C23+(B24-B2)</f>
        <v/>
      </c>
      <c r="D24" s="19">
        <f>IF(OR(B24&gt;B6,B24&lt;B7),"超出±3s(行動)",IF(OR(B24&gt;B4,B24&lt;B5),"超出±2s(警告)","正常"))</f>
        <v/>
      </c>
    </row>
    <row r="25">
      <c r="A25" s="7" t="n">
        <v>16</v>
      </c>
      <c r="B25" s="18" t="n">
        <v>12.07</v>
      </c>
      <c r="C25" s="17">
        <f>C24+(B25-B2)</f>
        <v/>
      </c>
      <c r="D25" s="19">
        <f>IF(OR(B25&gt;B6,B25&lt;B7),"超出±3s(行動)",IF(OR(B25&gt;B4,B25&lt;B5),"超出±2s(警告)","正常"))</f>
        <v/>
      </c>
    </row>
    <row r="26">
      <c r="A26" s="7" t="n">
        <v>17</v>
      </c>
      <c r="B26" s="18" t="n">
        <v>11.866</v>
      </c>
      <c r="C26" s="17">
        <f>C25+(B26-B2)</f>
        <v/>
      </c>
      <c r="D26" s="19">
        <f>IF(OR(B26&gt;B6,B26&lt;B7),"超出±3s(行動)",IF(OR(B26&gt;B4,B26&lt;B5),"超出±2s(警告)","正常"))</f>
        <v/>
      </c>
    </row>
    <row r="27">
      <c r="A27" s="7" t="n">
        <v>18</v>
      </c>
      <c r="B27" s="18" t="n">
        <v>12.62</v>
      </c>
      <c r="C27" s="17">
        <f>C26+(B27-B2)</f>
        <v/>
      </c>
      <c r="D27" s="19">
        <f>IF(OR(B27&gt;B6,B27&lt;B7),"超出±3s(行動)",IF(OR(B27&gt;B4,B27&lt;B5),"超出±2s(警告)","正常"))</f>
        <v/>
      </c>
    </row>
    <row r="28">
      <c r="A28" s="7" t="n">
        <v>19</v>
      </c>
      <c r="B28" s="18" t="n">
        <v>11.999</v>
      </c>
      <c r="C28" s="17">
        <f>C27+(B28-B2)</f>
        <v/>
      </c>
      <c r="D28" s="19">
        <f>IF(OR(B28&gt;B6,B28&lt;B7),"超出±3s(行動)",IF(OR(B28&gt;B4,B28&lt;B5),"超出±2s(警告)","正常"))</f>
        <v/>
      </c>
    </row>
    <row r="29">
      <c r="A29" s="7" t="n">
        <v>20</v>
      </c>
      <c r="B29" s="18" t="n">
        <v>12.148</v>
      </c>
      <c r="C29" s="17">
        <f>C28+(B29-B2)</f>
        <v/>
      </c>
      <c r="D29" s="19">
        <f>IF(OR(B29&gt;B6,B29&lt;B7),"超出±3s(行動)",IF(OR(B29&gt;B4,B29&lt;B5),"超出±2s(警告)","正常"))</f>
        <v/>
      </c>
    </row>
    <row r="30">
      <c r="A30" s="7" t="n">
        <v>21</v>
      </c>
      <c r="B30" s="18" t="n">
        <v>12.126</v>
      </c>
      <c r="C30" s="17">
        <f>C29+(B30-B2)</f>
        <v/>
      </c>
      <c r="D30" s="19">
        <f>IF(OR(B30&gt;B6,B30&lt;B7),"超出±3s(行動)",IF(OR(B30&gt;B4,B30&lt;B5),"超出±2s(警告)","正常"))</f>
        <v/>
      </c>
    </row>
    <row r="31">
      <c r="A31" s="7" t="n">
        <v>22</v>
      </c>
      <c r="B31" s="18" t="n">
        <v>12.106</v>
      </c>
      <c r="C31" s="17">
        <f>C30+(B31-B2)</f>
        <v/>
      </c>
      <c r="D31" s="19">
        <f>IF(OR(B31&gt;B6,B31&lt;B7),"超出±3s(行動)",IF(OR(B31&gt;B4,B31&lt;B5),"超出±2s(警告)","正常"))</f>
        <v/>
      </c>
    </row>
    <row r="32">
      <c r="A32" s="7" t="n">
        <v>23</v>
      </c>
      <c r="B32" s="18" t="n">
        <v>12.196</v>
      </c>
      <c r="C32" s="17">
        <f>C31+(B32-B2)</f>
        <v/>
      </c>
      <c r="D32" s="19">
        <f>IF(OR(B32&gt;B6,B32&lt;B7),"超出±3s(行動)",IF(OR(B32&gt;B4,B32&lt;B5),"超出±2s(警告)","正常"))</f>
        <v/>
      </c>
    </row>
    <row r="33">
      <c r="A33" s="7" t="n">
        <v>24</v>
      </c>
      <c r="B33" s="18" t="n">
        <v>11.792</v>
      </c>
      <c r="C33" s="17">
        <f>C32+(B33-B2)</f>
        <v/>
      </c>
      <c r="D33" s="19">
        <f>IF(OR(B33&gt;B6,B33&lt;B7),"超出±3s(行動)",IF(OR(B33&gt;B4,B33&lt;B5),"超出±2s(警告)","正常"))</f>
        <v/>
      </c>
    </row>
    <row r="34">
      <c r="A34" s="7" t="n">
        <v>25</v>
      </c>
      <c r="B34" s="18" t="n">
        <v>12.191</v>
      </c>
      <c r="C34" s="17">
        <f>C33+(B34-B2)</f>
        <v/>
      </c>
      <c r="D34" s="19">
        <f>IF(OR(B34&gt;B6,B34&lt;B7),"超出±3s(行動)",IF(OR(B34&gt;B4,B34&lt;B5),"超出±2s(警告)","正常"))</f>
        <v/>
      </c>
    </row>
    <row r="36">
      <c r="A36" s="14" t="inlineStr">
        <is>
          <t>判讀口訣：① 任一點超出±3s→立即停線找根本原因；② 連續7點同側或連續升降→系統性漂移（即使沒超界）；③ 只超±2s未超±3s→提高警覺、加測確認。CuSum 欄從第8天開始明顯轉正並持續攀升——比 Shewhart 的判定欄（要到第10天才出現「超出±3s」）更早顯示系統性漂移。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2" customWidth="1" min="4" max="4"/>
    <col width="50" customWidth="1" min="5" max="5"/>
  </cols>
  <sheetData>
    <row r="1">
      <c r="A1" s="5" t="inlineStr">
        <is>
          <t>項目</t>
        </is>
      </c>
      <c r="B1" s="5" t="inlineStr">
        <is>
          <t>Excel 算出來</t>
        </is>
      </c>
      <c r="C1" s="5" t="inlineStr">
        <is>
          <t>R 的答案</t>
        </is>
      </c>
      <c r="D1" s="5" t="inlineStr">
        <is>
          <t>一致？</t>
        </is>
      </c>
      <c r="E1" s="5" t="inlineStr">
        <is>
          <t>來源儲存格</t>
        </is>
      </c>
    </row>
    <row r="2">
      <c r="A2" s="7" t="inlineStr">
        <is>
          <t>空白平均 X̄Blk</t>
        </is>
      </c>
      <c r="B2" s="20">
        <f>'LOD_LOQ'!B25</f>
        <v/>
      </c>
      <c r="C2" s="20" t="n">
        <v>0.008425</v>
      </c>
      <c r="D2" s="21">
        <f>IF(ABS(B2-C2)&lt;=4.2125e-06,"✓","✗")</f>
        <v/>
      </c>
      <c r="E2" s="22" t="inlineStr">
        <is>
          <t>'LOD_LOQ'!B25</t>
        </is>
      </c>
    </row>
    <row r="3">
      <c r="A3" s="7" t="inlineStr">
        <is>
          <t>空白標準差 sBlk</t>
        </is>
      </c>
      <c r="B3" s="20">
        <f>'LOD_LOQ'!B26</f>
        <v/>
      </c>
      <c r="C3" s="20" t="n">
        <v>0.0028798528836694</v>
      </c>
      <c r="D3" s="21">
        <f>IF(ABS(B3-C3)&lt;=1.4399264418347e-06,"✓","✗")</f>
        <v/>
      </c>
      <c r="E3" s="22" t="inlineStr">
        <is>
          <t>'LOD_LOQ'!B26</t>
        </is>
      </c>
    </row>
    <row r="4">
      <c r="A4" s="7" t="inlineStr">
        <is>
          <t>偵測極限 LOD</t>
        </is>
      </c>
      <c r="B4" s="20">
        <f>'LOD_LOQ'!B27</f>
        <v/>
      </c>
      <c r="C4" s="20" t="n">
        <v>0.0170645586510082</v>
      </c>
      <c r="D4" s="21">
        <f>IF(ABS(B4-C4)&lt;=8.5322793255041e-06,"✓","✗")</f>
        <v/>
      </c>
      <c r="E4" s="22" t="inlineStr">
        <is>
          <t>'LOD_LOQ'!B27</t>
        </is>
      </c>
    </row>
    <row r="5">
      <c r="A5" s="7" t="inlineStr">
        <is>
          <t>定量極限 LOQ</t>
        </is>
      </c>
      <c r="B5" s="20">
        <f>'LOD_LOQ'!B28</f>
        <v/>
      </c>
      <c r="C5" s="20" t="n">
        <v>0.037223528836694</v>
      </c>
      <c r="D5" s="21">
        <f>IF(ABS(B5-C5)&lt;=1.8611764418347e-05,"✓","✗")</f>
        <v/>
      </c>
      <c r="E5" s="22" t="inlineStr">
        <is>
          <t>'LOD_LOQ'!B28</t>
        </is>
      </c>
    </row>
    <row r="6">
      <c r="A6" s="7" t="inlineStr">
        <is>
          <t>方法偵測極限 MDL</t>
        </is>
      </c>
      <c r="B6" s="20">
        <f>'MDL'!B15</f>
        <v/>
      </c>
      <c r="C6" s="20" t="n">
        <v>0.09020112690396589</v>
      </c>
      <c r="D6" s="21">
        <f>IF(ABS(B6-C6)&lt;=4.5100563451982946e-05,"✓","✗")</f>
        <v/>
      </c>
      <c r="E6" s="22" t="inlineStr">
        <is>
          <t>'MDL'!B15</t>
        </is>
      </c>
    </row>
    <row r="7">
      <c r="A7" s="7" t="inlineStr">
        <is>
          <t>t(6,0.99) 單尾</t>
        </is>
      </c>
      <c r="B7" s="20">
        <f>'MDL'!B14</f>
        <v/>
      </c>
      <c r="C7" s="20" t="n">
        <v>3.14266840329098</v>
      </c>
      <c r="D7" s="21">
        <f>IF(ABS(B7-C7)&lt;=0.0015713342016454902,"✓","✗")</f>
        <v/>
      </c>
      <c r="E7" s="22" t="inlineStr">
        <is>
          <t>'MDL'!B14</t>
        </is>
      </c>
    </row>
    <row r="8">
      <c r="A8" s="7" t="inlineStr">
        <is>
          <t>CuSum 第8天累積偏差</t>
        </is>
      </c>
      <c r="B8" s="20">
        <f>'Shewhart_CuSum'!C17</f>
        <v/>
      </c>
      <c r="C8" s="20" t="n">
        <v>0.0830000000000002</v>
      </c>
      <c r="D8" s="21">
        <f>IF(ABS(B8-C8)&lt;=1e-06,"✓","✗")</f>
        <v/>
      </c>
      <c r="E8" s="22" t="inlineStr">
        <is>
          <t>'Shewhart_CuSum'!C17</t>
        </is>
      </c>
    </row>
    <row r="9">
      <c r="A9" s="7" t="inlineStr">
        <is>
          <t>CuSum 第25天累積偏差</t>
        </is>
      </c>
      <c r="B9" s="20">
        <f>'Shewhart_CuSum'!C34</f>
        <v/>
      </c>
      <c r="C9" s="20" t="n">
        <v>3.525</v>
      </c>
      <c r="D9" s="21">
        <f>IF(ABS(B9-C9)&lt;=1e-06,"✓","✗")</f>
        <v/>
      </c>
      <c r="E9" s="22" t="inlineStr">
        <is>
          <t>'Shewhart_CuSum'!C34</t>
        </is>
      </c>
    </row>
    <row r="10">
      <c r="A10" s="7" t="inlineStr">
        <is>
          <t>QC 第10天讀值（資料核對）</t>
        </is>
      </c>
      <c r="B10" s="20">
        <f>'Shewhart_CuSum'!B19</f>
        <v/>
      </c>
      <c r="C10" s="20" t="n">
        <v>12.608</v>
      </c>
      <c r="D10" s="21">
        <f>IF(ABS(B10-C10)&lt;=1e-09,"✓","✗")</f>
        <v/>
      </c>
      <c r="E10" s="22" t="inlineStr">
        <is>
          <t>'Shewhart_CuSum'!B19</t>
        </is>
      </c>
    </row>
    <row r="12">
      <c r="A12" s="11" t="inlineStr">
        <is>
          <t>如果你改了黃色儲存格的數據，這裡當然會變成 ✗——那是因為 R 的答案是用原始教材數據算的。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2026-09-17T18:08:36Z</dcterms:created>
  <dcterms:modified xmlns:dcterms="http://purl.org/dc/terms/" xmlns:xsi="http://www.w3.org/2001/XMLSchema-instance" xsi:type="dcterms:W3CDTF">2026-09-17T18:08:36Z</dcterms:modified>
</cp:coreProperties>
</file>