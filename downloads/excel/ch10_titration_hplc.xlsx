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滴定NaOH標定" sheetId="2" state="visible" r:id="rId2"/>
    <sheet xmlns:r="http://schemas.openxmlformats.org/officeDocument/2006/relationships" name="HPLC農藥殘留" sheetId="3" state="visible" r:id="rId3"/>
    <sheet xmlns:r="http://schemas.openxmlformats.org/officeDocument/2006/relationships" name="對照R答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"/>
    <numFmt numFmtId="166" formatCode="0.0000000"/>
    <numFmt numFmtId="167" formatCode="0.000000"/>
    <numFmt numFmtId="168" formatCode="0.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Consolas"/>
      <color rgb="001565C0"/>
      <sz val="10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0" fontId="2" fillId="0" borderId="0" applyAlignment="1" pivotButton="0" quotePrefix="0" xfId="0">
      <alignment vertical="top" wrapText="1"/>
    </xf>
    <xf numFmtId="0" fontId="7" fillId="0" borderId="1" pivotButton="0" quotePrefix="0" xfId="0"/>
    <xf numFmtId="165" fontId="7" fillId="4" borderId="1" pivotButton="0" quotePrefix="0" xfId="0"/>
    <xf numFmtId="0" fontId="8" fillId="0" borderId="0" pivotButton="0" quotePrefix="0" xfId="0"/>
    <xf numFmtId="164" fontId="6" fillId="0" borderId="1" pivotButton="0" quotePrefix="0" xfId="0"/>
    <xf numFmtId="165" fontId="6" fillId="3" borderId="1" pivotButton="0" quotePrefix="0" xfId="0"/>
    <xf numFmtId="1" fontId="6" fillId="3" borderId="1" pivotButton="0" quotePrefix="0" xfId="0"/>
    <xf numFmtId="166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7" fontId="6" fillId="3" borderId="1" pivotButton="0" quotePrefix="0" xfId="0"/>
    <xf numFmtId="167" fontId="7" fillId="4" borderId="1" pivotButton="0" quotePrefix="0" xfId="0"/>
    <xf numFmtId="0" fontId="9" fillId="0" borderId="0" applyAlignment="1" pivotButton="0" quotePrefix="0" xfId="0">
      <alignment vertical="top" wrapText="1"/>
    </xf>
    <xf numFmtId="2" fontId="6" fillId="3" borderId="1" pivotButton="0" quotePrefix="0" xfId="0"/>
    <xf numFmtId="2" fontId="6" fillId="0" borderId="1" pivotButton="0" quotePrefix="0" xfId="0"/>
    <xf numFmtId="164" fontId="7" fillId="4" borderId="1" pivotButton="0" quotePrefix="0" xfId="0"/>
    <xf numFmtId="164" fontId="0" fillId="0" borderId="1" pivotButton="0" quotePrefix="0" xfId="0"/>
    <xf numFmtId="167" fontId="0" fillId="0" borderId="1" pivotButton="0" quotePrefix="0" xfId="0"/>
    <xf numFmtId="1" fontId="6" fillId="0" borderId="1" pivotButton="0" quotePrefix="0" xfId="0"/>
    <xf numFmtId="49" fontId="7" fillId="4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Ch10 實戰案例：滴定標定與 HPLC 農藥殘留的量測不確定度預算</t>
        </is>
      </c>
    </row>
    <row r="2">
      <c r="A2" s="2" t="inlineStr">
        <is>
          <t>對應網頁：ch10.html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重現教科書兩個國際範例：①用 KHP 標定 NaOH 濃度（QUAM Example A2）；②HPLC/GC 測麵包中農藥殘留（QUAM Example A4）。</t>
        </is>
      </c>
    </row>
    <row r="6">
      <c r="A6" s="4" t="inlineStr">
        <is>
          <t>兩者都是「乘除模型」——所以不確定度合成一律用「相對不確定度」（u(x)/x，沒有單位），公式是：相對合成 = SQRT(SUMSQ(各項相對u))。</t>
        </is>
      </c>
    </row>
    <row r="7">
      <c r="A7" s="4" t="inlineStr">
        <is>
          <t>「滴定NaOH標定」工作表：先算出濃度，再一項一項列出不確定度預算，看誰是老大（V_T 占 52%）。</t>
        </is>
      </c>
    </row>
    <row r="8">
      <c r="A8" s="4" t="inlineStr">
        <is>
          <t>「HPLC農藥殘留」工作表：內部驗證法的三大成分（精密度／回收率偏倚／均勻性），加上符合性判定。</t>
        </is>
      </c>
    </row>
    <row r="9">
      <c r="A9" s="3" t="inlineStr">
        <is>
          <t>怎麼用</t>
        </is>
      </c>
    </row>
    <row r="10">
      <c r="A10" s="4" t="inlineStr">
        <is>
          <t>1. 黃色是可以改的數據；改了以後，右邊所有公式（包含 u²占比）都會自動重算。</t>
        </is>
      </c>
    </row>
    <row r="11">
      <c r="A11" s="4" t="inlineStr">
        <is>
          <t>2. 試著把 V_T 從 18.64 改成 49（滴定管接近滿管程），看 u_c 怎麼變小——這就是「改善策略」那一段在算的事。</t>
        </is>
      </c>
    </row>
    <row r="12">
      <c r="A12" s="4" t="inlineStr">
        <is>
          <t>3. HPLC 工作表把 MRL（法規限量）改一改，看「符合／不符合／灰色地帶」怎麼變。</t>
        </is>
      </c>
    </row>
    <row r="13">
      <c r="A13" s="4" t="inlineStr">
        <is>
          <t>4.「對照R答案」工作表核對 Excel 與 R 是否一致。</t>
        </is>
      </c>
    </row>
    <row r="14">
      <c r="A14" s="3" t="inlineStr">
        <is>
          <t>兩個最重要的觀念</t>
        </is>
      </c>
    </row>
    <row r="15">
      <c r="A15" s="4" t="inlineStr">
        <is>
          <t>① u²占比（不確定度預算）是用「變異數」（u 的平方）算占比，不是把 u 直接相除——這是本章測驗最愛考的地方。</t>
        </is>
      </c>
    </row>
    <row r="16">
      <c r="A16" s="4" t="inlineStr">
        <is>
          <t>② 乘除模型合成用「相對」不確定度；加減模型合成才用「絕對」不確定度——兩者不能混用。</t>
        </is>
      </c>
    </row>
    <row r="17">
      <c r="A17" s="3" t="inlineStr">
        <is>
          <t>本章沒有對應的資料分析工具箱功能</t>
        </is>
      </c>
    </row>
    <row r="18">
      <c r="A18" s="4" t="inlineStr">
        <is>
          <t>不確定度預算是逐項代公式，屬於「量測不確定度評估」而不是統計檢定或迴歸，Excel 的資料分析工具箱（t 檢定/F 檢定/ANOVA/迴歸）用不上；本活頁簿全部用一般函數（SQRT、SUMSQ、IF）現場計算。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12" customWidth="1" min="7" max="7"/>
    <col width="46" customWidth="1" min="8" max="8"/>
  </cols>
  <sheetData>
    <row r="1">
      <c r="A1" s="3" t="inlineStr">
        <is>
          <t>Step 1：量測模型的各輸入量（黃色可改）</t>
        </is>
      </c>
    </row>
    <row r="2">
      <c r="A2" s="5" t="inlineStr">
        <is>
          <t>項目</t>
        </is>
      </c>
      <c r="B2" s="5" t="inlineStr">
        <is>
          <t>數值</t>
        </is>
      </c>
      <c r="C2" s="5" t="inlineStr">
        <is>
          <t>公式</t>
        </is>
      </c>
      <c r="D2" s="5" t="inlineStr">
        <is>
          <t>說明</t>
        </is>
      </c>
    </row>
    <row r="3">
      <c r="A3" s="6" t="inlineStr">
        <is>
          <t>m(KHP)：KHP 質量 (g)</t>
        </is>
      </c>
      <c r="B3" s="7" t="n">
        <v>0.3888</v>
      </c>
      <c r="D3" s="8" t="inlineStr">
        <is>
          <t>稱取的 KHP 淨重</t>
        </is>
      </c>
    </row>
    <row r="4">
      <c r="A4" s="6" t="inlineStr">
        <is>
          <t>P(KHP)：純度</t>
        </is>
      </c>
      <c r="B4" s="7" t="n">
        <v>1</v>
      </c>
      <c r="D4" s="8" t="inlineStr">
        <is>
          <t>證書純度（小數）</t>
        </is>
      </c>
    </row>
    <row r="5">
      <c r="A5" s="6" t="inlineStr">
        <is>
          <t>M(KHP)：莫耳質量 (g/mol)</t>
        </is>
      </c>
      <c r="B5" s="7" t="n">
        <v>204.2212</v>
      </c>
      <c r="D5" s="8" t="inlineStr">
        <is>
          <t>由 IUPAC 原子量計算</t>
        </is>
      </c>
    </row>
    <row r="6">
      <c r="A6" s="6" t="inlineStr">
        <is>
          <t>V_T：滴定體積 (mL)</t>
        </is>
      </c>
      <c r="B6" s="7" t="n">
        <v>18.64</v>
      </c>
      <c r="D6" s="8" t="inlineStr">
        <is>
          <t>自動滴定儀 pH 電極判定終點</t>
        </is>
      </c>
    </row>
    <row r="7">
      <c r="A7" s="9" t="inlineStr">
        <is>
          <t>c(NaOH)：標定濃度 (mol/L)</t>
        </is>
      </c>
      <c r="B7" s="10">
        <f>1000*B3*B4/(B5*B6)</f>
        <v/>
      </c>
      <c r="C7" s="11" t="inlineStr">
        <is>
          <t>'=1000*B3*B4/(B5*B6)</t>
        </is>
      </c>
      <c r="D7" s="8" t="inlineStr">
        <is>
          <t>量測模型：1000×m×P/(M×V_T)</t>
        </is>
      </c>
    </row>
    <row r="9">
      <c r="A9" s="3" t="inlineStr">
        <is>
          <t>u(V_T) 的解剖：滴定體積的三個不確定度來源</t>
        </is>
      </c>
    </row>
    <row r="10">
      <c r="A10" s="5" t="inlineStr">
        <is>
          <t>項目</t>
        </is>
      </c>
      <c r="B10" s="5" t="inlineStr">
        <is>
          <t>數值</t>
        </is>
      </c>
      <c r="C10" s="5" t="inlineStr">
        <is>
          <t>公式</t>
        </is>
      </c>
      <c r="D10" s="5" t="inlineStr">
        <is>
          <t>說明</t>
        </is>
      </c>
    </row>
    <row r="11">
      <c r="A11" s="6" t="inlineStr">
        <is>
          <t>① 滴定管校正 半寬 a (mL)</t>
        </is>
      </c>
      <c r="B11" s="7" t="n">
        <v>0.01</v>
      </c>
      <c r="D11" s="8" t="inlineStr">
        <is>
          <t>A 級滴定管證書 ±0.01 mL</t>
        </is>
      </c>
    </row>
    <row r="12">
      <c r="A12" s="6" t="inlineStr">
        <is>
          <t>u(校正)：三角形分布 (mL)</t>
        </is>
      </c>
      <c r="B12" s="12">
        <f>B11/SQRT(6)</f>
        <v/>
      </c>
      <c r="C12" s="11" t="inlineStr">
        <is>
          <t>'=B11/SQRT(6)</t>
        </is>
      </c>
      <c r="D12" s="8" t="inlineStr">
        <is>
          <t>三角形分布除數 √6</t>
        </is>
      </c>
    </row>
    <row r="13">
      <c r="A13" s="6" t="inlineStr">
        <is>
          <t>② 水的體積膨脹係數 (/℃)</t>
        </is>
      </c>
      <c r="B13" s="13" t="n">
        <v>0.00021</v>
      </c>
      <c r="D13" s="8" t="inlineStr">
        <is>
          <t>查表常數</t>
        </is>
      </c>
    </row>
    <row r="14">
      <c r="A14" s="6" t="inlineStr">
        <is>
          <t>溫度變動 ±ΔT (℃)</t>
        </is>
      </c>
      <c r="B14" s="14" t="n">
        <v>4</v>
      </c>
      <c r="D14" s="8" t="inlineStr">
        <is>
          <t>實驗室溫度變動範圍</t>
        </is>
      </c>
    </row>
    <row r="15">
      <c r="A15" s="6" t="inlineStr">
        <is>
          <t>溫度效應 半寬 a (mL)</t>
        </is>
      </c>
      <c r="B15" s="12">
        <f>B6*B13*B14</f>
        <v/>
      </c>
      <c r="C15" s="11" t="inlineStr">
        <is>
          <t>'=B6*B13*B14</t>
        </is>
      </c>
      <c r="D15" s="8" t="inlineStr">
        <is>
          <t>V_T × 膨脹係數 × ΔT</t>
        </is>
      </c>
    </row>
    <row r="16">
      <c r="A16" s="6" t="inlineStr">
        <is>
          <t>u(溫度)：矩形分布 (mL)</t>
        </is>
      </c>
      <c r="B16" s="12">
        <f>B15/SQRT(3)</f>
        <v/>
      </c>
      <c r="C16" s="11" t="inlineStr">
        <is>
          <t>'=B15/SQRT(3)</t>
        </is>
      </c>
      <c r="D16" s="8" t="inlineStr">
        <is>
          <t>矩形分布除數 √3</t>
        </is>
      </c>
    </row>
    <row r="17">
      <c r="A17" s="6" t="inlineStr">
        <is>
          <t>③ 終點判讀 半寬 a (mL)</t>
        </is>
      </c>
      <c r="B17" s="7" t="n">
        <v>0.003</v>
      </c>
      <c r="D17" s="8" t="inlineStr">
        <is>
          <t>pH 曲線轉折與理論當量點的偏差</t>
        </is>
      </c>
    </row>
    <row r="18">
      <c r="A18" s="6" t="inlineStr">
        <is>
          <t>u(終點)：矩形分布 (mL)</t>
        </is>
      </c>
      <c r="B18" s="12">
        <f>B17/SQRT(3)</f>
        <v/>
      </c>
      <c r="C18" s="11" t="inlineStr">
        <is>
          <t>'=B17/SQRT(3)</t>
        </is>
      </c>
      <c r="D18" s="8" t="inlineStr">
        <is>
          <t>矩形分布除數 √3</t>
        </is>
      </c>
    </row>
    <row r="19">
      <c r="A19" s="6" t="inlineStr">
        <is>
          <t>u(V_T) 三項合成 (mL)</t>
        </is>
      </c>
      <c r="B19" s="12">
        <f>SQRT(SUMSQ(B12,B16,B18))</f>
        <v/>
      </c>
      <c r="C19" s="11" t="inlineStr">
        <is>
          <t>'=SQRT(SUMSQ(B12,B16,B18))</t>
        </is>
      </c>
      <c r="D19" s="8" t="inlineStr">
        <is>
          <t>SQRT(SUMSQ(校正,溫度,終點)) ≈ 0.0101，QUAM 保守取 0.013（見下方採用值）</t>
        </is>
      </c>
    </row>
    <row r="20">
      <c r="A20" s="6" t="inlineStr">
        <is>
          <t>u(V_T)：採用值 (mL)</t>
        </is>
      </c>
      <c r="B20" s="7" t="n">
        <v>0.013</v>
      </c>
      <c r="D20" s="8" t="inlineStr">
        <is>
          <t>QUAM 原文較保守的取值，下方主預算表採用這一個</t>
        </is>
      </c>
    </row>
    <row r="22">
      <c r="A22" s="3" t="inlineStr">
        <is>
          <t>Step 3/4：不確定度預算表（乘除模型，用相對不確定度）</t>
        </is>
      </c>
    </row>
    <row r="23">
      <c r="A23" s="5" t="inlineStr">
        <is>
          <t>來源</t>
        </is>
      </c>
      <c r="B23" s="5" t="inlineStr">
        <is>
          <t>數值 x</t>
        </is>
      </c>
      <c r="C23" s="5" t="inlineStr">
        <is>
          <t>分布</t>
        </is>
      </c>
      <c r="D23" s="5" t="inlineStr">
        <is>
          <t>除數</t>
        </is>
      </c>
      <c r="E23" s="5" t="inlineStr">
        <is>
          <t>標準不確定度 u</t>
        </is>
      </c>
      <c r="F23" s="5" t="inlineStr">
        <is>
          <t>相對 u(x)/x</t>
        </is>
      </c>
      <c r="G23" s="5" t="inlineStr">
        <is>
          <t>u²占比 (%)</t>
        </is>
      </c>
    </row>
    <row r="24">
      <c r="A24" s="6" t="inlineStr">
        <is>
          <t>u_rep：重複性 相對標準不確定度</t>
        </is>
      </c>
      <c r="B24" s="13" t="n">
        <v>0.0005</v>
      </c>
      <c r="D24" s="8" t="inlineStr">
        <is>
          <t>過往滴定的重複變異（合併所有操作），先佔一列避免與下面預算表衝突</t>
        </is>
      </c>
    </row>
    <row r="25">
      <c r="A25" s="6" t="inlineStr">
        <is>
          <t>u(m)：質量標準不確定度 (g)</t>
        </is>
      </c>
      <c r="B25" s="13" t="n">
        <v>0.00013</v>
      </c>
      <c r="D25" s="8" t="inlineStr">
        <is>
          <t>第7章天平案例：解析度+校正+重複</t>
        </is>
      </c>
    </row>
    <row r="26">
      <c r="A26" s="6" t="inlineStr">
        <is>
          <t>a(P)：純度半寬（矩形）</t>
        </is>
      </c>
      <c r="B26" s="13" t="n">
        <v>0.0005</v>
      </c>
      <c r="D26" s="8" t="inlineStr">
        <is>
          <t>證書 ±0.0005</t>
        </is>
      </c>
    </row>
    <row r="27">
      <c r="A27" s="6" t="inlineStr">
        <is>
          <t>u(P) 計算值：矩形分布</t>
        </is>
      </c>
      <c r="B27" s="15">
        <f>B26/SQRT(3)</f>
        <v/>
      </c>
      <c r="C27" s="11" t="inlineStr">
        <is>
          <t>'=B26/SQRT(3)</t>
        </is>
      </c>
      <c r="D27" s="8" t="inlineStr">
        <is>
          <t>u(P) = a/√3 ≈ 0.0002887；下方主預算表採用教材/QUAM 取值 0.00029</t>
        </is>
      </c>
    </row>
    <row r="28">
      <c r="A28" s="6" t="inlineStr">
        <is>
          <t>u(M)：莫耳質量標準不確定度 (g/mol)</t>
        </is>
      </c>
      <c r="B28" s="7" t="n">
        <v>0.0038</v>
      </c>
      <c r="D28" s="8" t="inlineStr">
        <is>
          <t>IUPAC 原子量不確定度表</t>
        </is>
      </c>
    </row>
    <row r="29">
      <c r="A29" s="6" t="inlineStr">
        <is>
          <t>重複性 rep</t>
        </is>
      </c>
      <c r="B29" s="12" t="n">
        <v>1</v>
      </c>
      <c r="C29" s="6" t="inlineStr">
        <is>
          <t>直接給定（歷史滴定重複變異）</t>
        </is>
      </c>
      <c r="D29" s="6" t="inlineStr">
        <is>
          <t>—</t>
        </is>
      </c>
      <c r="E29" s="16">
        <f>B24</f>
        <v/>
      </c>
      <c r="F29" s="16">
        <f>B24/1</f>
        <v/>
      </c>
      <c r="G29" s="17">
        <f>F29^2/B35^2*100</f>
        <v/>
      </c>
    </row>
    <row r="30">
      <c r="A30" s="6" t="inlineStr">
        <is>
          <t>質量 m(KHP)</t>
        </is>
      </c>
      <c r="B30" s="12">
        <f>B3</f>
        <v/>
      </c>
      <c r="C30" s="6" t="inlineStr">
        <is>
          <t>合成（天平：解析度+校正+重複）</t>
        </is>
      </c>
      <c r="D30" s="6" t="inlineStr">
        <is>
          <t>—</t>
        </is>
      </c>
      <c r="E30" s="16">
        <f>B25</f>
        <v/>
      </c>
      <c r="F30" s="16">
        <f>B25/B3</f>
        <v/>
      </c>
      <c r="G30" s="17">
        <f>F30^2/B35^2*100</f>
        <v/>
      </c>
    </row>
    <row r="31">
      <c r="A31" s="6" t="inlineStr">
        <is>
          <t>純度 P(KHP)</t>
        </is>
      </c>
      <c r="B31" s="12">
        <f>B4</f>
        <v/>
      </c>
      <c r="C31" s="6" t="inlineStr">
        <is>
          <t>矩形 ±0.0005（=0.0005/√3≈0.0002887，教材採用 0.00029）</t>
        </is>
      </c>
      <c r="D31" s="6" t="inlineStr">
        <is>
          <t>√3</t>
        </is>
      </c>
      <c r="E31" s="18" t="n">
        <v>0.00029</v>
      </c>
      <c r="F31" s="16">
        <f>E31/B4</f>
        <v/>
      </c>
      <c r="G31" s="17">
        <f>F31^2/B35^2*100</f>
        <v/>
      </c>
    </row>
    <row r="32">
      <c r="A32" s="6" t="inlineStr">
        <is>
          <t>莫耳質量 M(KHP)</t>
        </is>
      </c>
      <c r="B32" s="12">
        <f>B5</f>
        <v/>
      </c>
      <c r="C32" s="6" t="inlineStr">
        <is>
          <t>常態（IUPAC 給定為 u）</t>
        </is>
      </c>
      <c r="D32" s="6" t="inlineStr">
        <is>
          <t>1</t>
        </is>
      </c>
      <c r="E32" s="16">
        <f>B28</f>
        <v/>
      </c>
      <c r="F32" s="16">
        <f>B28/B5</f>
        <v/>
      </c>
      <c r="G32" s="17">
        <f>F32^2/B35^2*100</f>
        <v/>
      </c>
    </row>
    <row r="33">
      <c r="A33" s="6" t="inlineStr">
        <is>
          <t>滴定體積 V_T</t>
        </is>
      </c>
      <c r="B33" s="12">
        <f>B6</f>
        <v/>
      </c>
      <c r="C33" s="6" t="inlineStr">
        <is>
          <t>合成（校正+溫度+終點，見上表）</t>
        </is>
      </c>
      <c r="D33" s="6" t="inlineStr">
        <is>
          <t>1</t>
        </is>
      </c>
      <c r="E33" s="16">
        <f>B20</f>
        <v/>
      </c>
      <c r="F33" s="16">
        <f>B20/B6</f>
        <v/>
      </c>
      <c r="G33" s="17">
        <f>F33^2/B35^2*100</f>
        <v/>
      </c>
    </row>
    <row r="35">
      <c r="A35" s="9" t="inlineStr">
        <is>
          <t>相對合成不確定度 u_c(c)/c</t>
        </is>
      </c>
      <c r="B35" s="19">
        <f>SQRT(SUMSQ(F29,F30,F31,F32,F33))</f>
        <v/>
      </c>
      <c r="C35" s="11" t="inlineStr">
        <is>
          <t>'=SQRT(SUMSQ(F29,F30,F31,F32,F33))</t>
        </is>
      </c>
      <c r="D35" s="8" t="inlineStr">
        <is>
          <t>SQRT(SUMSQ(五項相對 u))——先平方、加總、再開根號</t>
        </is>
      </c>
    </row>
    <row r="36">
      <c r="A36" s="9" t="inlineStr">
        <is>
          <t>u_c(c)：合成標準不確定度 (mol/L)</t>
        </is>
      </c>
      <c r="B36" s="19">
        <f>B7*B35</f>
        <v/>
      </c>
      <c r="C36" s="11" t="inlineStr">
        <is>
          <t>'=B7*B35</t>
        </is>
      </c>
      <c r="D36" s="8" t="inlineStr">
        <is>
          <t>c(NaOH) × 相對合成</t>
        </is>
      </c>
    </row>
    <row r="37">
      <c r="A37" s="9" t="inlineStr">
        <is>
          <t>U：擴展不確定度 (k=2)</t>
        </is>
      </c>
      <c r="B37" s="19">
        <f>2*B36</f>
        <v/>
      </c>
      <c r="C37" s="11" t="inlineStr">
        <is>
          <t>'=2*B36</t>
        </is>
      </c>
      <c r="D37" s="8" t="inlineStr">
        <is>
          <t>k=2，約 95%</t>
        </is>
      </c>
    </row>
    <row r="38">
      <c r="A38" s="20" t="inlineStr">
        <is>
          <t>報告：c(NaOH) = (0.10214 ± 0.00020) mol/L（k=2）</t>
        </is>
      </c>
    </row>
    <row r="40">
      <c r="A40" s="3" t="inlineStr">
        <is>
          <t>改善策略：讓滴定體積接近 50 mL 滿管程（多稱 KHP）</t>
        </is>
      </c>
    </row>
    <row r="41">
      <c r="A41" s="5" t="inlineStr">
        <is>
          <t>項目</t>
        </is>
      </c>
      <c r="B41" s="5" t="inlineStr">
        <is>
          <t>數值</t>
        </is>
      </c>
      <c r="C41" s="5" t="inlineStr">
        <is>
          <t>公式</t>
        </is>
      </c>
      <c r="D41" s="5" t="inlineStr">
        <is>
          <t>說明</t>
        </is>
      </c>
    </row>
    <row r="42">
      <c r="A42" s="6" t="inlineStr">
        <is>
          <t>V_T 改善後 (mL)</t>
        </is>
      </c>
      <c r="B42" s="21" t="n">
        <v>49</v>
      </c>
      <c r="D42" s="8" t="inlineStr">
        <is>
          <t>多稱約 2.6 倍 KHP，滴定體積接近滿管程</t>
        </is>
      </c>
    </row>
    <row r="43">
      <c r="A43" s="6" t="inlineStr">
        <is>
          <t>m(KHP) 放大倍數</t>
        </is>
      </c>
      <c r="B43" s="21" t="n">
        <v>2.6</v>
      </c>
      <c r="D43" s="8" t="inlineStr">
        <is>
          <t>配合 V_T 加大，同比例多稱 KHP</t>
        </is>
      </c>
    </row>
    <row r="44">
      <c r="A44" s="6" t="inlineStr">
        <is>
          <t>V_T 改善後的相對 u</t>
        </is>
      </c>
      <c r="B44" s="16">
        <f>B20/B42</f>
        <v/>
      </c>
      <c r="C44" s="11" t="inlineStr">
        <is>
          <t>'=B20/B42</t>
        </is>
      </c>
      <c r="D44" s="8" t="inlineStr">
        <is>
          <t>u(V_T) 不變，只是 V_T 變大</t>
        </is>
      </c>
    </row>
    <row r="45">
      <c r="A45" s="6" t="inlineStr">
        <is>
          <t>m 改善後的相對 u</t>
        </is>
      </c>
      <c r="B45" s="16">
        <f>B25/(B3*B43)</f>
        <v/>
      </c>
      <c r="C45" s="11" t="inlineStr">
        <is>
          <t>'=B25/(B3*B43)</t>
        </is>
      </c>
      <c r="D45" s="8" t="inlineStr">
        <is>
          <t>u(m) 不變，質量變大</t>
        </is>
      </c>
    </row>
    <row r="46">
      <c r="A46" s="9" t="inlineStr">
        <is>
          <t>改善後相對合成</t>
        </is>
      </c>
      <c r="B46" s="19">
        <f>SQRT(SUMSQ(F29,B45,F31,F32,B44))</f>
        <v/>
      </c>
      <c r="C46" s="11" t="inlineStr">
        <is>
          <t>'=SQRT(SUMSQ(F29,B45,F31,F32,B44))</t>
        </is>
      </c>
      <c r="D46" s="8" t="inlineStr">
        <is>
          <t>同樣的 SQRT(SUMSQ())，只是 m、V 兩項變小</t>
        </is>
      </c>
    </row>
    <row r="47">
      <c r="A47" s="9" t="inlineStr">
        <is>
          <t>改善後 u_c (mol/L)</t>
        </is>
      </c>
      <c r="B47" s="19">
        <f>B7*B46</f>
        <v/>
      </c>
      <c r="C47" s="11" t="inlineStr">
        <is>
          <t>'=B7*B46</t>
        </is>
      </c>
      <c r="D47" s="8" t="inlineStr">
        <is>
          <t>從 0.000099 降到約 0.000066（改善約 34%）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12" customWidth="1" min="7" max="7"/>
    <col width="46" customWidth="1" min="8" max="8"/>
  </cols>
  <sheetData>
    <row r="1">
      <c r="A1" s="3" t="inlineStr">
        <is>
          <t>Step 3：內部驗證法的三大成分（QUAM Table A4.4）</t>
        </is>
      </c>
    </row>
    <row r="2">
      <c r="A2" s="5" t="inlineStr">
        <is>
          <t>來源</t>
        </is>
      </c>
      <c r="B2" s="5" t="inlineStr">
        <is>
          <t>數值 x</t>
        </is>
      </c>
      <c r="C2" s="5" t="inlineStr">
        <is>
          <t>分布</t>
        </is>
      </c>
      <c r="D2" s="5" t="inlineStr">
        <is>
          <t>除數</t>
        </is>
      </c>
      <c r="E2" s="5" t="inlineStr">
        <is>
          <t>標準不確定度 u</t>
        </is>
      </c>
      <c r="F2" s="5" t="inlineStr">
        <is>
          <t>相對 u(x)/x</t>
        </is>
      </c>
      <c r="G2" s="5" t="inlineStr">
        <is>
          <t>u²占比 (%)</t>
        </is>
      </c>
    </row>
    <row r="3">
      <c r="A3" s="6" t="inlineStr">
        <is>
          <t>精密度 Precision</t>
        </is>
      </c>
      <c r="B3" s="22" t="n">
        <v>1</v>
      </c>
      <c r="C3" s="6" t="inlineStr">
        <is>
          <t>直接給定（不同類型樣品雙重複分析的中間精密度）</t>
        </is>
      </c>
      <c r="D3" s="6" t="inlineStr">
        <is>
          <t>—</t>
        </is>
      </c>
      <c r="E3" s="7" t="n">
        <v>0.27</v>
      </c>
      <c r="F3" s="12">
        <f>E3/B3</f>
        <v/>
      </c>
      <c r="G3" s="17">
        <f>F3^2/B8^2*100</f>
        <v/>
      </c>
    </row>
    <row r="4">
      <c r="A4" s="6" t="inlineStr">
        <is>
          <t>偏倚 Bias（回收率）</t>
        </is>
      </c>
      <c r="B4" s="21" t="n">
        <v>0.9</v>
      </c>
      <c r="C4" s="6" t="inlineStr">
        <is>
          <t>加標回收實驗：平均回收 90%，其 SD 與顯著性檢定</t>
        </is>
      </c>
      <c r="D4" s="6" t="inlineStr">
        <is>
          <t>—</t>
        </is>
      </c>
      <c r="E4" s="7" t="n">
        <v>0.043</v>
      </c>
      <c r="F4" s="12">
        <f>E4/B4</f>
        <v/>
      </c>
      <c r="G4" s="17">
        <f>F4^2/B8^2*100</f>
        <v/>
      </c>
    </row>
    <row r="5">
      <c r="A5" s="6" t="inlineStr">
        <is>
          <t>均勻性 Homogeneity</t>
        </is>
      </c>
      <c r="B5" s="22" t="n">
        <v>1</v>
      </c>
      <c r="C5" s="6" t="inlineStr">
        <is>
          <t>模型估計最壞情境（農藥可能只在麵包表面）</t>
        </is>
      </c>
      <c r="D5" s="6" t="inlineStr">
        <is>
          <t>—</t>
        </is>
      </c>
      <c r="E5" s="7" t="n">
        <v>0.2</v>
      </c>
      <c r="F5" s="12">
        <f>E5/B5</f>
        <v/>
      </c>
      <c r="G5" s="17">
        <f>F5^2/B8^2*100</f>
        <v/>
      </c>
    </row>
    <row r="7">
      <c r="A7" s="5" t="inlineStr">
        <is>
          <t>項目</t>
        </is>
      </c>
      <c r="B7" s="5" t="inlineStr">
        <is>
          <t>結果</t>
        </is>
      </c>
      <c r="C7" s="5" t="inlineStr">
        <is>
          <t>公式</t>
        </is>
      </c>
      <c r="D7" s="5" t="inlineStr">
        <is>
          <t>說明</t>
        </is>
      </c>
    </row>
    <row r="8">
      <c r="A8" s="9" t="inlineStr">
        <is>
          <t>相對合成不確定度</t>
        </is>
      </c>
      <c r="B8" s="23">
        <f>SQRT(SUMSQ(F3,F4,F5))</f>
        <v/>
      </c>
      <c r="C8" s="11" t="inlineStr">
        <is>
          <t>'=SQRT(SUMSQ(F3,F4,F5))</t>
        </is>
      </c>
      <c r="D8" s="8" t="inlineStr">
        <is>
          <t>三大成分平方和開根號</t>
        </is>
      </c>
    </row>
    <row r="10">
      <c r="A10" s="6" t="inlineStr">
        <is>
          <t>P_raw：儀器測得未修正結果 (mg/kg)</t>
        </is>
      </c>
      <c r="B10" s="7" t="n">
        <v>1</v>
      </c>
      <c r="D10" s="8" t="inlineStr">
        <is>
          <t>層析儀讀值</t>
        </is>
      </c>
    </row>
    <row r="11">
      <c r="A11" s="6" t="inlineStr">
        <is>
          <t>Rec：回收率</t>
        </is>
      </c>
      <c r="B11" s="7" t="n">
        <v>0.9</v>
      </c>
      <c r="D11" s="8" t="inlineStr">
        <is>
          <t>同上表回收率</t>
        </is>
      </c>
    </row>
    <row r="12">
      <c r="A12" s="9" t="inlineStr">
        <is>
          <t>P_op：回收率修正後結果 (mg/kg)</t>
        </is>
      </c>
      <c r="B12" s="23">
        <f>B10/B11</f>
        <v/>
      </c>
      <c r="C12" s="11" t="inlineStr">
        <is>
          <t>'=B10/B11</t>
        </is>
      </c>
      <c r="D12" s="8" t="inlineStr">
        <is>
          <t>除以回收率修正偏倚</t>
        </is>
      </c>
    </row>
    <row r="13">
      <c r="A13" s="9" t="inlineStr">
        <is>
          <t>u_c(P_op) (mg/kg)</t>
        </is>
      </c>
      <c r="B13" s="23">
        <f>B12*B8</f>
        <v/>
      </c>
      <c r="C13" s="11" t="inlineStr">
        <is>
          <t>'=B12*B8</t>
        </is>
      </c>
      <c r="D13" s="8" t="inlineStr">
        <is>
          <t>P_op × 相對合成</t>
        </is>
      </c>
    </row>
    <row r="14">
      <c r="A14" s="9" t="inlineStr">
        <is>
          <t>U：擴展不確定度 (k=2, mg/kg)</t>
        </is>
      </c>
      <c r="B14" s="23">
        <f>2*B13</f>
        <v/>
      </c>
      <c r="C14" s="11" t="inlineStr">
        <is>
          <t>'=2*B13</t>
        </is>
      </c>
      <c r="D14" s="8" t="inlineStr">
        <is>
          <t>k=2，約 95%</t>
        </is>
      </c>
    </row>
    <row r="15">
      <c r="A15" s="20" t="inlineStr">
        <is>
          <t>報告：P_op = (1.11 ± 0.75) mg/kg（k=2）——與 QUAM Table A4.5 一致</t>
        </is>
      </c>
    </row>
    <row r="17">
      <c r="A17" s="3" t="inlineStr">
        <is>
          <t>進階：用雙重複對數據自己算精密度項（估短期重複性 RSD）</t>
        </is>
      </c>
    </row>
    <row r="18">
      <c r="A18" s="5" t="inlineStr">
        <is>
          <t>樣品 a</t>
        </is>
      </c>
      <c r="B18" s="5" t="inlineStr">
        <is>
          <t>樣品 b</t>
        </is>
      </c>
      <c r="C18" s="5" t="inlineStr">
        <is>
          <t>相對差 d=(a-b)/((a+b)/2)</t>
        </is>
      </c>
      <c r="D18" s="5" t="inlineStr">
        <is>
          <t>d²</t>
        </is>
      </c>
    </row>
    <row r="19">
      <c r="A19" s="21" t="n">
        <v>0.42</v>
      </c>
      <c r="B19" s="21" t="n">
        <v>0.39</v>
      </c>
      <c r="C19" s="24">
        <f>(A19-B19)/((A19+B19)/2)</f>
        <v/>
      </c>
      <c r="D19" s="25">
        <f>C19^2</f>
        <v/>
      </c>
    </row>
    <row r="20">
      <c r="A20" s="21" t="n">
        <v>1.13</v>
      </c>
      <c r="B20" s="21" t="n">
        <v>0.97</v>
      </c>
      <c r="C20" s="24">
        <f>(A20-B20)/((A20+B20)/2)</f>
        <v/>
      </c>
      <c r="D20" s="25">
        <f>C20^2</f>
        <v/>
      </c>
    </row>
    <row r="21">
      <c r="A21" s="21" t="n">
        <v>0.27</v>
      </c>
      <c r="B21" s="21" t="n">
        <v>0.3</v>
      </c>
      <c r="C21" s="24">
        <f>(A21-B21)/((A21+B21)/2)</f>
        <v/>
      </c>
      <c r="D21" s="25">
        <f>C21^2</f>
        <v/>
      </c>
    </row>
    <row r="22">
      <c r="A22" s="21" t="n">
        <v>0.88</v>
      </c>
      <c r="B22" s="21" t="n">
        <v>0.71</v>
      </c>
      <c r="C22" s="24">
        <f>(A22-B22)/((A22+B22)/2)</f>
        <v/>
      </c>
      <c r="D22" s="25">
        <f>C22^2</f>
        <v/>
      </c>
    </row>
    <row r="23">
      <c r="A23" s="21" t="n">
        <v>0.55</v>
      </c>
      <c r="B23" s="21" t="n">
        <v>0.6</v>
      </c>
      <c r="C23" s="24">
        <f>(A23-B23)/((A23+B23)/2)</f>
        <v/>
      </c>
      <c r="D23" s="25">
        <f>C23^2</f>
        <v/>
      </c>
    </row>
    <row r="24">
      <c r="A24" s="21" t="n">
        <v>1.62</v>
      </c>
      <c r="B24" s="21" t="n">
        <v>1.28</v>
      </c>
      <c r="C24" s="24">
        <f>(A24-B24)/((A24+B24)/2)</f>
        <v/>
      </c>
      <c r="D24" s="25">
        <f>C24^2</f>
        <v/>
      </c>
    </row>
    <row r="25">
      <c r="A25" s="21" t="n">
        <v>0.31</v>
      </c>
      <c r="B25" s="21" t="n">
        <v>0.35</v>
      </c>
      <c r="C25" s="24">
        <f>(A25-B25)/((A25+B25)/2)</f>
        <v/>
      </c>
      <c r="D25" s="25">
        <f>C25^2</f>
        <v/>
      </c>
    </row>
    <row r="26">
      <c r="A26" s="21" t="n">
        <v>0.74</v>
      </c>
      <c r="B26" s="21" t="n">
        <v>0.8</v>
      </c>
      <c r="C26" s="24">
        <f>(A26-B26)/((A26+B26)/2)</f>
        <v/>
      </c>
      <c r="D26" s="25">
        <f>C26^2</f>
        <v/>
      </c>
    </row>
    <row r="27">
      <c r="A27" s="6" t="inlineStr">
        <is>
          <t>Σd²</t>
        </is>
      </c>
      <c r="B27" s="16">
        <f>SUM(D19:D26)</f>
        <v/>
      </c>
      <c r="C27" s="11" t="inlineStr">
        <is>
          <t>'=SUM(D19:D26)</t>
        </is>
      </c>
      <c r="D27" s="8" t="inlineStr">
        <is>
          <t>8 對雙重複的相對差平方和</t>
        </is>
      </c>
    </row>
    <row r="28">
      <c r="A28" s="6" t="inlineStr">
        <is>
          <t>對數 n</t>
        </is>
      </c>
      <c r="B28" s="26">
        <f>COUNT(A19:A26)</f>
        <v/>
      </c>
      <c r="C28" s="11" t="inlineStr">
        <is>
          <t>'=COUNT(A19:A26)</t>
        </is>
      </c>
      <c r="D28" s="8" t="inlineStr">
        <is>
          <t>共 8 對</t>
        </is>
      </c>
    </row>
    <row r="29">
      <c r="A29" s="9" t="inlineStr">
        <is>
          <t>RSD（短期重複性）</t>
        </is>
      </c>
      <c r="B29" s="23">
        <f>SQRT(B27/(2*B28))</f>
        <v/>
      </c>
      <c r="C29" s="11" t="inlineStr">
        <is>
          <t>'=SQRT(B27/(2*B28))</t>
        </is>
      </c>
      <c r="D29" s="8" t="inlineStr">
        <is>
          <t>SQRT(Σd²/(2n))——只反映短期變異，比長期中間精密度 0.27 小得多</t>
        </is>
      </c>
    </row>
    <row r="31">
      <c r="A31" s="3" t="inlineStr">
        <is>
          <t>符合性判定（保守決策規則）</t>
        </is>
      </c>
    </row>
    <row r="32">
      <c r="A32" s="5" t="inlineStr">
        <is>
          <t>項目</t>
        </is>
      </c>
      <c r="B32" s="5" t="inlineStr">
        <is>
          <t>結果</t>
        </is>
      </c>
      <c r="C32" s="5" t="inlineStr">
        <is>
          <t>公式</t>
        </is>
      </c>
      <c r="D32" s="5" t="inlineStr">
        <is>
          <t>說明</t>
        </is>
      </c>
    </row>
    <row r="33">
      <c r="A33" s="6" t="inlineStr">
        <is>
          <t>MRL：法規限量 (mg/kg)</t>
        </is>
      </c>
      <c r="B33" s="21" t="n">
        <v>2</v>
      </c>
      <c r="D33" s="8" t="inlineStr">
        <is>
          <t>可改成 1.5 看灰色地帶</t>
        </is>
      </c>
    </row>
    <row r="34">
      <c r="A34" s="6" t="inlineStr">
        <is>
          <t>下限 = P_op − U</t>
        </is>
      </c>
      <c r="B34" s="12">
        <f>B12-B14</f>
        <v/>
      </c>
      <c r="C34" s="11" t="inlineStr">
        <is>
          <t>'=B12-B14</t>
        </is>
      </c>
    </row>
    <row r="35">
      <c r="A35" s="6" t="inlineStr">
        <is>
          <t>上限 = P_op + U</t>
        </is>
      </c>
      <c r="B35" s="12">
        <f>B12+B14</f>
        <v/>
      </c>
      <c r="C35" s="11" t="inlineStr">
        <is>
          <t>'=B12+B14</t>
        </is>
      </c>
    </row>
    <row r="36">
      <c r="A36" s="9" t="inlineStr">
        <is>
          <t>判定</t>
        </is>
      </c>
      <c r="B36" s="27">
        <f>IF(B34&gt;B33,"不符合",IF(B35&lt;=B33,"符合","灰色地帶"))</f>
        <v/>
      </c>
      <c r="C36" s="11" t="inlineStr">
        <is>
          <t>'=IF(B34&gt;B33,"不符合",IF(B35&lt;=B33,"符合","灰色地帶"))</t>
        </is>
      </c>
      <c r="D36" s="8" t="inlineStr">
        <is>
          <t>下限超過限量才判不符合；上限沒超過才判符合；其餘是灰色地帶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6" t="inlineStr">
        <is>
          <t>c(NaOH) 標定濃度</t>
        </is>
      </c>
      <c r="B2" s="24">
        <f>'滴定NaOH標定'!B7</f>
        <v/>
      </c>
      <c r="C2" s="24" t="n">
        <v>0.1021361597</v>
      </c>
      <c r="D2" s="28">
        <f>IF(ABS(B2-C2)&lt;=5.1068079850000004e-05,"✓","✗")</f>
        <v/>
      </c>
      <c r="E2" s="29" t="inlineStr">
        <is>
          <t>'滴定NaOH標定'!B7</t>
        </is>
      </c>
    </row>
    <row r="3">
      <c r="A3" s="6" t="inlineStr">
        <is>
          <t>滴定相對合成不確定度</t>
        </is>
      </c>
      <c r="B3" s="24">
        <f>'滴定NaOH標定'!B35</f>
        <v/>
      </c>
      <c r="C3" s="24" t="n">
        <v>0.0009657358605</v>
      </c>
      <c r="D3" s="28">
        <f>IF(ABS(B3-C3)&lt;=4.828679302500001e-07,"✓","✗")</f>
        <v/>
      </c>
      <c r="E3" s="29" t="inlineStr">
        <is>
          <t>'滴定NaOH標定'!B35</t>
        </is>
      </c>
    </row>
    <row r="4">
      <c r="A4" s="6" t="inlineStr">
        <is>
          <t>滴定 u_c</t>
        </is>
      </c>
      <c r="B4" s="24">
        <f>'滴定NaOH標定'!B36</f>
        <v/>
      </c>
      <c r="C4" s="24" t="n">
        <v>9.863655208e-05</v>
      </c>
      <c r="D4" s="28">
        <f>IF(ABS(B4-C4)&lt;=4.931827604e-08,"✓","✗")</f>
        <v/>
      </c>
      <c r="E4" s="29" t="inlineStr">
        <is>
          <t>'滴定NaOH標定'!B36</t>
        </is>
      </c>
    </row>
    <row r="5">
      <c r="A5" s="6" t="inlineStr">
        <is>
          <t>滴定 U (k=2)</t>
        </is>
      </c>
      <c r="B5" s="24">
        <f>'滴定NaOH標定'!B37</f>
        <v/>
      </c>
      <c r="C5" s="24" t="n">
        <v>0.0001972731042</v>
      </c>
      <c r="D5" s="28">
        <f>IF(ABS(B5-C5)&lt;=9.863655210000001e-08,"✓","✗")</f>
        <v/>
      </c>
      <c r="E5" s="29" t="inlineStr">
        <is>
          <t>'滴定NaOH標定'!B37</t>
        </is>
      </c>
    </row>
    <row r="6">
      <c r="A6" s="6" t="inlineStr">
        <is>
          <t>V_T 三項合成 u(V_T)</t>
        </is>
      </c>
      <c r="B6" s="24">
        <f>'滴定NaOH標定'!B19</f>
        <v/>
      </c>
      <c r="C6" s="24" t="n">
        <v>0.01006910188</v>
      </c>
      <c r="D6" s="28">
        <f>IF(ABS(B6-C6)&lt;=5.03455094e-06,"✓","✗")</f>
        <v/>
      </c>
      <c r="E6" s="29" t="inlineStr">
        <is>
          <t>'滴定NaOH標定'!B19</t>
        </is>
      </c>
    </row>
    <row r="7">
      <c r="A7" s="6" t="inlineStr">
        <is>
          <t>V_T 對變異數占比 (%)</t>
        </is>
      </c>
      <c r="B7" s="24">
        <f>'滴定NaOH標定'!G33</f>
        <v/>
      </c>
      <c r="C7" s="24" t="n">
        <v>52.15286509</v>
      </c>
      <c r="D7" s="28">
        <f>IF(ABS(B7-C7)&lt;=0.026076432545,"✓","✗")</f>
        <v/>
      </c>
      <c r="E7" s="29" t="inlineStr">
        <is>
          <t>'滴定NaOH標定'!G33</t>
        </is>
      </c>
    </row>
    <row r="8">
      <c r="A8" s="6" t="inlineStr">
        <is>
          <t>改善後相對合成</t>
        </is>
      </c>
      <c r="B8" s="24">
        <f>'滴定NaOH標定'!B46</f>
        <v/>
      </c>
      <c r="C8" s="24" t="n">
        <v>0.0006491315283</v>
      </c>
      <c r="D8" s="28">
        <f>IF(ABS(B8-C8)&lt;=3.2456576415000005e-07,"✓","✗")</f>
        <v/>
      </c>
      <c r="E8" s="29" t="inlineStr">
        <is>
          <t>'滴定NaOH標定'!B46</t>
        </is>
      </c>
    </row>
    <row r="9">
      <c r="A9" s="6" t="inlineStr">
        <is>
          <t>HPLC 相對合成不確定度</t>
        </is>
      </c>
      <c r="B9" s="24">
        <f>'HPLC農藥殘留'!B8</f>
        <v/>
      </c>
      <c r="C9" s="24" t="n">
        <v>0.3393857924</v>
      </c>
      <c r="D9" s="28">
        <f>IF(ABS(B9-C9)&lt;=0.0001696928962,"✓","✗")</f>
        <v/>
      </c>
      <c r="E9" s="29" t="inlineStr">
        <is>
          <t>'HPLC農藥殘留'!B8</t>
        </is>
      </c>
    </row>
    <row r="10">
      <c r="A10" s="6" t="inlineStr">
        <is>
          <t>HPLC P_op</t>
        </is>
      </c>
      <c r="B10" s="24">
        <f>'HPLC農藥殘留'!B12</f>
        <v/>
      </c>
      <c r="C10" s="24" t="n">
        <v>1.111111111</v>
      </c>
      <c r="D10" s="28">
        <f>IF(ABS(B10-C10)&lt;=0.0005555555555000001,"✓","✗")</f>
        <v/>
      </c>
      <c r="E10" s="29" t="inlineStr">
        <is>
          <t>'HPLC農藥殘留'!B12</t>
        </is>
      </c>
    </row>
    <row r="11">
      <c r="A11" s="6" t="inlineStr">
        <is>
          <t>HPLC u_c(P_op)</t>
        </is>
      </c>
      <c r="B11" s="24">
        <f>'HPLC農藥殘留'!B13</f>
        <v/>
      </c>
      <c r="C11" s="24" t="n">
        <v>0.3770953248</v>
      </c>
      <c r="D11" s="28">
        <f>IF(ABS(B11-C11)&lt;=0.0001885476624,"✓","✗")</f>
        <v/>
      </c>
      <c r="E11" s="29" t="inlineStr">
        <is>
          <t>'HPLC農藥殘留'!B13</t>
        </is>
      </c>
    </row>
    <row r="12">
      <c r="A12" s="6" t="inlineStr">
        <is>
          <t>HPLC U (k=2)</t>
        </is>
      </c>
      <c r="B12" s="24">
        <f>'HPLC農藥殘留'!B14</f>
        <v/>
      </c>
      <c r="C12" s="24" t="n">
        <v>0.7541906497</v>
      </c>
      <c r="D12" s="28">
        <f>IF(ABS(B12-C12)&lt;=0.00037709532485,"✓","✗")</f>
        <v/>
      </c>
      <c r="E12" s="29" t="inlineStr">
        <is>
          <t>'HPLC農藥殘留'!B14</t>
        </is>
      </c>
    </row>
    <row r="13">
      <c r="A13" s="6" t="inlineStr">
        <is>
          <t>雙重複 RSD</t>
        </is>
      </c>
      <c r="B13" s="24">
        <f>'HPLC農藥殘留'!B29</f>
        <v/>
      </c>
      <c r="C13" s="24" t="n">
        <v>0.1027196196</v>
      </c>
      <c r="D13" s="28">
        <f>IF(ABS(B13-C13)&lt;=5.135980980000001e-05,"✓","✗")</f>
        <v/>
      </c>
      <c r="E13" s="29" t="inlineStr">
        <is>
          <t>'HPLC農藥殘留'!B29</t>
        </is>
      </c>
    </row>
    <row r="15">
      <c r="A15" s="8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