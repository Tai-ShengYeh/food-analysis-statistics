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有效數字取位" sheetId="2" state="visible" r:id="rId2"/>
    <sheet xmlns:r="http://schemas.openxmlformats.org/officeDocument/2006/relationships" name="DixonQ檢定" sheetId="3" state="visible" r:id="rId3"/>
    <sheet xmlns:r="http://schemas.openxmlformats.org/officeDocument/2006/relationships" name="Grubbs檢定" sheetId="4" state="visible" r:id="rId4"/>
    <sheet xmlns:r="http://schemas.openxmlformats.org/officeDocument/2006/relationships" name="對照R答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  <b val="1"/>
    </font>
    <font>
      <name val="Consolas"/>
      <color rgb="001565C0"/>
      <sz val="10"/>
    </font>
    <font>
      <name val="Microsoft JhengHei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E3F5E5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" fontId="6" fillId="3" borderId="1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1" pivotButton="0" quotePrefix="0" xfId="0"/>
    <xf numFmtId="164" fontId="8" fillId="0" borderId="1" pivotButton="0" quotePrefix="0" xfId="0"/>
    <xf numFmtId="2" fontId="6" fillId="3" borderId="1" pivotButton="0" quotePrefix="0" xfId="0"/>
    <xf numFmtId="1" fontId="8" fillId="0" borderId="1" pivotButton="0" quotePrefix="0" xfId="0"/>
    <xf numFmtId="0" fontId="9" fillId="0" borderId="0" applyAlignment="1" pivotButton="0" quotePrefix="0" xfId="0">
      <alignment vertical="top" wrapText="1"/>
    </xf>
    <xf numFmtId="2" fontId="8" fillId="0" borderId="1" pivotButton="0" quotePrefix="0" xfId="0"/>
    <xf numFmtId="2" fontId="8" fillId="4" borderId="1" pivotButton="0" quotePrefix="0" xfId="0"/>
    <xf numFmtId="164" fontId="6" fillId="3" borderId="1" pivotButton="0" quotePrefix="0" xfId="0"/>
    <xf numFmtId="165" fontId="8" fillId="0" borderId="1" pivotButton="0" quotePrefix="0" xfId="0"/>
    <xf numFmtId="165" fontId="6" fillId="3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Ch5 有效數字取位與異常值檢定：Dixon Q 與 Grubbs 檢定</t>
        </is>
      </c>
    </row>
    <row r="2">
      <c r="A2" s="2" t="inlineStr">
        <is>
          <t>對應網頁：ch05.html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「有效數字取位」工作表：示範乘除看『有效位數最少』、加減看『小數位數最少』的取位規則，以及課本經典的稀釋倍數陷阱（50 當成 1 位有效數字 vs 正確的 50.0）。</t>
        </is>
      </c>
    </row>
    <row r="6">
      <c r="A6" s="4" t="inlineStr">
        <is>
          <t>「DixonQ檢定」工作表：用 Q=gap/全距 判斷可疑值能不能捨棄，臨界值查表用 INDEX/MATCH 依 n 自動取值（不用每次手動翻書）。示範水分 5 筆（含可疑值 55.31）與乾物質習題 4 筆兩個案例。</t>
        </is>
      </c>
    </row>
    <row r="7">
      <c r="A7" s="4" t="inlineStr">
        <is>
          <t>「Grubbs檢定」工作表：用 G=|可疑值−平均|/SD 判斷，臨界值查表用 VLOOKUP 依 n 取值——這張查表不是查課本（Grubbs 臨界值課本沒有列），而是用 R 的 grubbs_crit() 公式（t 分布近似）實際算出來後填進表裡，比 Excel 內建函數更穩定、也不用每次重新設定公式。</t>
        </is>
      </c>
    </row>
    <row r="8">
      <c r="A8" s="3" t="inlineStr">
        <is>
          <t>怎麼用</t>
        </is>
      </c>
    </row>
    <row r="9">
      <c r="A9" s="4" t="inlineStr">
        <is>
          <t>1. 黃色是原始數據，其他都是活公式，C 欄印出公式原文對照。</t>
        </is>
      </c>
    </row>
    <row r="10">
      <c r="A10" s="4" t="inlineStr">
        <is>
          <t>2.「DixonQ檢定」「Grubbs檢定」都把可疑值改一改（例如把 55.31 改成 60），看判定欄會不會從「可剔除」變回「保留」。</t>
        </is>
      </c>
    </row>
    <row r="11">
      <c r="A11" s="4" t="inlineStr">
        <is>
          <t>3.「對照R答案」工作表核對 Excel 算出來的與 R 的答案是否一致。</t>
        </is>
      </c>
    </row>
    <row r="12">
      <c r="A12" s="3" t="inlineStr">
        <is>
          <t>資料分析工具箱：這一章沒有直接對應的功能</t>
        </is>
      </c>
    </row>
    <row r="13">
      <c r="A13" s="4" t="inlineStr">
        <is>
          <t>Dixon Q 檢定與 Grubbs 檢定都不是 Excel『資料分析工具箱』裡的項目（工具箱只有敘述統計、t/F 檢定、ANOVA、迴歸等）。工具箱裡唯一用得上的是『敘述統計』，可以幫你快速算出平均值、標準差，但查臨界值、算 Q 或 G、下判定，還是要靠本活頁簿的 INDEX/MATCH、VLOOKUP 與 IF 公式（或直接用 R）。</t>
        </is>
      </c>
    </row>
    <row r="14">
      <c r="A14" s="3" t="inlineStr">
        <is>
          <t>本章最重要的觀念</t>
        </is>
      </c>
    </row>
    <row r="15">
      <c r="A15" s="4" t="inlineStr">
        <is>
          <t>有效數字規則不能機械套用：稀釋倍數『50』如果是用 A 級容量瓶配的，它其實是 50.0（3 位有效數字），當成 1 位會嚴重低估最終濃度（2175 被誤算成 2000，正確應該是 2180）。</t>
        </is>
      </c>
    </row>
    <row r="16">
      <c r="A16" s="4" t="inlineStr">
        <is>
          <t>Q 檢定、Grubbs 檢定拒絕 H0（判定為異常值）不等於可以直接刪數據——必須同時有『可追溯的操作失誤紀錄』與『統計檢定支持』，兩者兼備才可刪除，且要在報告中揭露；純粹用統計理由拒絕數值通常不明智（QUAM §2.4.13）。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0" customWidth="1" min="3" max="3"/>
    <col width="60" customWidth="1" min="4" max="4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說明</t>
        </is>
      </c>
    </row>
    <row r="2">
      <c r="A2" s="6" t="inlineStr">
        <is>
          <t>36.54×238×1.1 取有效數字</t>
        </is>
      </c>
      <c r="B2" s="7">
        <f>ROUND(9566.172,2-1-INT(LOG10(ABS(9566.172))))</f>
        <v/>
      </c>
      <c r="C2" s="8" t="inlineStr">
        <is>
          <t>'=ROUND(9566.172,2-1-INT(LOG10(ABS(9566.172))))</t>
        </is>
      </c>
      <c r="D2" s="9" t="inlineStr">
        <is>
          <t>9566.172 中 1.1 只有 2 位有效數字，乘除看最少的那一項</t>
        </is>
      </c>
    </row>
    <row r="3">
      <c r="A3" s="10" t="inlineStr">
        <is>
          <t>0.01672 取3位有效數字</t>
        </is>
      </c>
      <c r="B3" s="11">
        <f>ROUND(0.01672,3-1-INT(LOG10(ABS(0.01672))))</f>
        <v/>
      </c>
      <c r="C3" s="8" t="inlineStr">
        <is>
          <t>'=ROUND(0.01672,3-1-INT(LOG10(ABS(0.01672))))</t>
        </is>
      </c>
      <c r="D3" s="9" t="inlineStr">
        <is>
          <t>前導零不算有效位數</t>
        </is>
      </c>
    </row>
    <row r="4">
      <c r="A4" s="6" t="inlineStr">
        <is>
          <t>7.45+8.725 (加法看小數位)</t>
        </is>
      </c>
      <c r="B4" s="12">
        <f>ROUND(7.45+8.725,2)</f>
        <v/>
      </c>
      <c r="C4" s="8" t="inlineStr">
        <is>
          <t>'=ROUND(7.45+8.725,2)</t>
        </is>
      </c>
      <c r="D4" s="9" t="inlineStr">
        <is>
          <t>7.45 只有 2 位小數，加減法取位看小數位數最少的一項</t>
        </is>
      </c>
    </row>
    <row r="5">
      <c r="A5" s="10" t="inlineStr">
        <is>
          <t>咖啡因43.5稀釋『50』(誤當1位)</t>
        </is>
      </c>
      <c r="B5" s="13">
        <f>ROUND(43.5*50,1-1-INT(LOG10(ABS(43.5*50))))</f>
        <v/>
      </c>
      <c r="C5" s="8" t="inlineStr">
        <is>
          <t>'=ROUND(43.5*50,1-1-INT(LOG10(ABS(43.5*50))))</t>
        </is>
      </c>
      <c r="D5" s="9" t="inlineStr">
        <is>
          <t>把稀釋倍數50當成1位有效數字 → 嚴重低估！</t>
        </is>
      </c>
    </row>
    <row r="6">
      <c r="A6" s="6" t="inlineStr">
        <is>
          <t>咖啡因43.5稀釋『50.0』(正確3位)</t>
        </is>
      </c>
      <c r="B6" s="7">
        <f>ROUND(43.5*50,3-1-INT(LOG10(ABS(43.5*50))))</f>
        <v/>
      </c>
      <c r="C6" s="8" t="inlineStr">
        <is>
          <t>'=ROUND(43.5*50,3-1-INT(LOG10(ABS(43.5*50))))</t>
        </is>
      </c>
      <c r="D6" s="9" t="inlineStr">
        <is>
          <t>A級容量瓶配製，50.0才是正確的有效數字位數</t>
        </is>
      </c>
    </row>
    <row r="8">
      <c r="A8" s="14" t="inlineStr">
        <is>
          <t>取位公式 =ROUND(數值, 位數−1−INT(LOG10(ABS(數值)))) 可以直接指定『要留幾位有效數字』，不用自己數小數點在哪。務必先算完全部步驟，最後才四捨五入一次。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44" customWidth="1" min="3" max="3"/>
    <col width="60" customWidth="1" min="4" max="4"/>
  </cols>
  <sheetData>
    <row r="1">
      <c r="A1" s="5" t="inlineStr">
        <is>
          <t>n</t>
        </is>
      </c>
      <c r="B1" s="5" t="inlineStr">
        <is>
          <t>Q0.90 臨界值</t>
        </is>
      </c>
    </row>
    <row r="2">
      <c r="A2" s="13" t="n">
        <v>3</v>
      </c>
      <c r="B2" s="15" t="n">
        <v>0.9399999999999999</v>
      </c>
    </row>
    <row r="3">
      <c r="A3" s="13" t="n">
        <v>4</v>
      </c>
      <c r="B3" s="15" t="n">
        <v>0.76</v>
      </c>
    </row>
    <row r="4">
      <c r="A4" s="13" t="n">
        <v>5</v>
      </c>
      <c r="B4" s="15" t="n">
        <v>0.64</v>
      </c>
    </row>
    <row r="5">
      <c r="A5" s="13" t="n">
        <v>6</v>
      </c>
      <c r="B5" s="15" t="n">
        <v>0.5600000000000001</v>
      </c>
    </row>
    <row r="6">
      <c r="A6" s="13" t="n">
        <v>7</v>
      </c>
      <c r="B6" s="15" t="n">
        <v>0.51</v>
      </c>
    </row>
    <row r="7">
      <c r="A7" s="13" t="n">
        <v>8</v>
      </c>
      <c r="B7" s="15" t="n">
        <v>0.47</v>
      </c>
    </row>
    <row r="8">
      <c r="A8" s="13" t="n">
        <v>9</v>
      </c>
      <c r="B8" s="15" t="n">
        <v>0.44</v>
      </c>
    </row>
    <row r="9">
      <c r="A9" s="13" t="n">
        <v>10</v>
      </c>
      <c r="B9" s="15" t="n">
        <v>0.41</v>
      </c>
    </row>
    <row r="10">
      <c r="A10" s="9" t="inlineStr">
        <is>
          <t>上表是 Nielsen Table 4.4 的 90% 信賴 Dixon Q 臨界值（查課本表格得到，非計算值）。</t>
        </is>
      </c>
    </row>
    <row r="12">
      <c r="A12" s="14" t="inlineStr">
        <is>
          <t>案例1：水分 5 筆（含可疑低值 55.31）</t>
        </is>
      </c>
    </row>
    <row r="13">
      <c r="A13" s="5" t="inlineStr">
        <is>
          <t>排序後數值 (%)</t>
        </is>
      </c>
    </row>
    <row r="14">
      <c r="A14" s="16" t="n">
        <v>55.31</v>
      </c>
    </row>
    <row r="15">
      <c r="A15" s="16" t="n">
        <v>64.45</v>
      </c>
    </row>
    <row r="16">
      <c r="A16" s="16" t="n">
        <v>64.53</v>
      </c>
    </row>
    <row r="17">
      <c r="A17" s="16" t="n">
        <v>64.78</v>
      </c>
    </row>
    <row r="18">
      <c r="A18" s="16" t="n">
        <v>65.09999999999999</v>
      </c>
    </row>
    <row r="20">
      <c r="A20" s="5" t="inlineStr">
        <is>
          <t>項目</t>
        </is>
      </c>
      <c r="B20" s="5" t="inlineStr">
        <is>
          <t>結果</t>
        </is>
      </c>
      <c r="C20" s="5" t="inlineStr">
        <is>
          <t>公式</t>
        </is>
      </c>
      <c r="D20" s="5" t="inlineStr">
        <is>
          <t>說明</t>
        </is>
      </c>
    </row>
    <row r="21">
      <c r="A21" s="10" t="inlineStr">
        <is>
          <t>n</t>
        </is>
      </c>
      <c r="B21" s="13">
        <f>COUNT(A14:A18)</f>
        <v/>
      </c>
      <c r="C21" s="8" t="inlineStr">
        <is>
          <t>'=COUNT(A14:A18)</t>
        </is>
      </c>
    </row>
    <row r="22">
      <c r="A22" s="10" t="inlineStr">
        <is>
          <t>gap_低值端 = x2−x1</t>
        </is>
      </c>
      <c r="B22" s="11">
        <f>A15-A14</f>
        <v/>
      </c>
      <c r="C22" s="8" t="inlineStr">
        <is>
          <t>'=A15-A14</t>
        </is>
      </c>
      <c r="D22" s="9" t="inlineStr">
        <is>
          <t>最小值可疑時的差距</t>
        </is>
      </c>
    </row>
    <row r="23">
      <c r="A23" s="10" t="inlineStr">
        <is>
          <t>gap_高值端 = xn−xn-1</t>
        </is>
      </c>
      <c r="B23" s="11">
        <f>A18-A17</f>
        <v/>
      </c>
      <c r="C23" s="8" t="inlineStr">
        <is>
          <t>'=A18-A17</t>
        </is>
      </c>
      <c r="D23" s="9" t="inlineStr">
        <is>
          <t>最大值可疑時的差距</t>
        </is>
      </c>
    </row>
    <row r="24">
      <c r="A24" s="10" t="inlineStr">
        <is>
          <t>全距 W = xn−x1</t>
        </is>
      </c>
      <c r="B24" s="15">
        <f>A18-A14</f>
        <v/>
      </c>
      <c r="C24" s="8" t="inlineStr">
        <is>
          <t>'=A18-A14</t>
        </is>
      </c>
    </row>
    <row r="25">
      <c r="A25" s="6" t="inlineStr">
        <is>
          <t>Q值 = MAX(兩端gap)/W</t>
        </is>
      </c>
      <c r="B25" s="17">
        <f>MAX(B22,B23)/B24</f>
        <v/>
      </c>
      <c r="C25" s="8" t="inlineStr">
        <is>
          <t>'=MAX(B22,B23)/B24</t>
        </is>
      </c>
      <c r="D25" s="9" t="inlineStr">
        <is>
          <t>取兩端較大的那個gap</t>
        </is>
      </c>
    </row>
    <row r="26">
      <c r="A26" s="6" t="inlineStr">
        <is>
          <t>查表臨界值 Q0.90</t>
        </is>
      </c>
      <c r="B26" s="12">
        <f>INDEX($B$2:$B$9,MATCH(B21,$A$2:$A$9,0))</f>
        <v/>
      </c>
      <c r="C26" s="8" t="inlineStr">
        <is>
          <t>'=INDEX($B$2:$B$9,MATCH(B21,$A$2:$A$9,0))</t>
        </is>
      </c>
      <c r="D26" s="9" t="inlineStr">
        <is>
          <t>依n用INDEX/MATCH查表</t>
        </is>
      </c>
    </row>
    <row r="27">
      <c r="A27" s="10" t="inlineStr">
        <is>
          <t>判定</t>
        </is>
      </c>
      <c r="B27" s="10">
        <f>IF(B25&gt;B26,"可剔除(異常值)","保留")</f>
        <v/>
      </c>
      <c r="C27" s="8" t="inlineStr">
        <is>
          <t>'=IF(B25&gt;B26,"可剔除(異常值)","保留")</t>
        </is>
      </c>
    </row>
    <row r="29">
      <c r="A29" s="14" t="inlineStr">
        <is>
          <t>案例2：乾物質習題 4 筆（可疑低值 82.20）</t>
        </is>
      </c>
    </row>
    <row r="30">
      <c r="A30" s="5" t="inlineStr">
        <is>
          <t>排序後數值 (%)</t>
        </is>
      </c>
    </row>
    <row r="31">
      <c r="A31" s="16" t="n">
        <v>82.2</v>
      </c>
    </row>
    <row r="32">
      <c r="A32" s="16" t="n">
        <v>88.62</v>
      </c>
    </row>
    <row r="33">
      <c r="A33" s="16" t="n">
        <v>88.73999999999999</v>
      </c>
    </row>
    <row r="34">
      <c r="A34" s="16" t="n">
        <v>89.2</v>
      </c>
    </row>
    <row r="36">
      <c r="A36" s="5" t="inlineStr">
        <is>
          <t>項目</t>
        </is>
      </c>
      <c r="B36" s="5" t="inlineStr">
        <is>
          <t>結果</t>
        </is>
      </c>
      <c r="C36" s="5" t="inlineStr">
        <is>
          <t>公式</t>
        </is>
      </c>
      <c r="D36" s="5" t="inlineStr">
        <is>
          <t>說明</t>
        </is>
      </c>
    </row>
    <row r="37">
      <c r="A37" s="10" t="inlineStr">
        <is>
          <t>n</t>
        </is>
      </c>
      <c r="B37" s="13">
        <f>COUNT(A31:A34)</f>
        <v/>
      </c>
      <c r="C37" s="8" t="inlineStr">
        <is>
          <t>'=COUNT(A31:A34)</t>
        </is>
      </c>
    </row>
    <row r="38">
      <c r="A38" s="10" t="inlineStr">
        <is>
          <t>gap_低值端</t>
        </is>
      </c>
      <c r="B38" s="11">
        <f>A32-A31</f>
        <v/>
      </c>
      <c r="C38" s="8" t="inlineStr">
        <is>
          <t>'=A32-A31</t>
        </is>
      </c>
    </row>
    <row r="39">
      <c r="A39" s="10" t="inlineStr">
        <is>
          <t>gap_高值端</t>
        </is>
      </c>
      <c r="B39" s="11">
        <f>A34-A33</f>
        <v/>
      </c>
      <c r="C39" s="8" t="inlineStr">
        <is>
          <t>'=A34-A33</t>
        </is>
      </c>
    </row>
    <row r="40">
      <c r="A40" s="10" t="inlineStr">
        <is>
          <t>全距 W</t>
        </is>
      </c>
      <c r="B40" s="15">
        <f>A34-A31</f>
        <v/>
      </c>
      <c r="C40" s="8" t="inlineStr">
        <is>
          <t>'=A34-A31</t>
        </is>
      </c>
    </row>
    <row r="41">
      <c r="A41" s="6" t="inlineStr">
        <is>
          <t>Q值</t>
        </is>
      </c>
      <c r="B41" s="17">
        <f>MAX(B38,B39)/B40</f>
        <v/>
      </c>
      <c r="C41" s="8" t="inlineStr">
        <is>
          <t>'=MAX(B38,B39)/B40</t>
        </is>
      </c>
    </row>
    <row r="42">
      <c r="A42" s="6" t="inlineStr">
        <is>
          <t>查表臨界值 Q0.90</t>
        </is>
      </c>
      <c r="B42" s="12">
        <f>INDEX($B$2:$B$9,MATCH(B37,$A$2:$A$9,0))</f>
        <v/>
      </c>
      <c r="C42" s="8" t="inlineStr">
        <is>
          <t>'=INDEX($B$2:$B$9,MATCH(B37,$A$2:$A$9,0))</t>
        </is>
      </c>
    </row>
    <row r="43">
      <c r="A43" s="10" t="inlineStr">
        <is>
          <t>判定</t>
        </is>
      </c>
      <c r="B43" s="10">
        <f>IF(B41&gt;B42,"可剔除(異常值)","保留")</f>
        <v/>
      </c>
      <c r="C43" s="8" t="inlineStr">
        <is>
          <t>'=IF(B41&gt;B42,"可剔除(異常值)","保留")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50" customWidth="1" min="3" max="3"/>
    <col width="60" customWidth="1" min="4" max="4"/>
  </cols>
  <sheetData>
    <row r="1">
      <c r="A1" s="5" t="inlineStr">
        <is>
          <t>n</t>
        </is>
      </c>
      <c r="B1" s="5" t="inlineStr">
        <is>
          <t>Gcrit (α=0.05，R的grubbs_crit()實算)</t>
        </is>
      </c>
    </row>
    <row r="2">
      <c r="A2" s="13" t="n">
        <v>3</v>
      </c>
      <c r="B2" s="18" t="n">
        <v>1.15430485134404</v>
      </c>
    </row>
    <row r="3">
      <c r="A3" s="13" t="n">
        <v>4</v>
      </c>
      <c r="B3" s="18" t="n">
        <v>1.48125</v>
      </c>
    </row>
    <row r="4">
      <c r="A4" s="13" t="n">
        <v>5</v>
      </c>
      <c r="B4" s="18" t="n">
        <v>1.71503731234336</v>
      </c>
    </row>
    <row r="5">
      <c r="A5" s="13" t="n">
        <v>6</v>
      </c>
      <c r="B5" s="18" t="n">
        <v>1.88714511778393</v>
      </c>
    </row>
    <row r="6">
      <c r="A6" s="13" t="n">
        <v>7</v>
      </c>
      <c r="B6" s="18" t="n">
        <v>2.0199685076796</v>
      </c>
    </row>
    <row r="7">
      <c r="A7" s="13" t="n">
        <v>8</v>
      </c>
      <c r="B7" s="18" t="n">
        <v>2.12664508719546</v>
      </c>
    </row>
    <row r="8">
      <c r="A8" s="13" t="n">
        <v>9</v>
      </c>
      <c r="B8" s="18" t="n">
        <v>2.21500422332553</v>
      </c>
    </row>
    <row r="9">
      <c r="A9" s="13" t="n">
        <v>10</v>
      </c>
      <c r="B9" s="18" t="n">
        <v>2.2899540844796</v>
      </c>
    </row>
    <row r="10">
      <c r="A10" s="9" t="inlineStr">
        <is>
          <t>上表臨界值不是查課本（Grubbs 臨界值 Nielsen 沒有附表），而是用該章 R 檔的 grubbs_crit(n) （t 分布近似公式）實際算出來後填進去，比每次重打 Excel 公式更不容易出錯。</t>
        </is>
      </c>
    </row>
    <row r="12">
      <c r="A12" s="14" t="inlineStr">
        <is>
          <t>乾物質習題 4 筆（原始順序，不用排序）</t>
        </is>
      </c>
    </row>
    <row r="13">
      <c r="A13" s="5" t="inlineStr">
        <is>
          <t>乾物質數值 (%)</t>
        </is>
      </c>
      <c r="B13" s="5" t="inlineStr">
        <is>
          <t>|xi−平均| 偏差</t>
        </is>
      </c>
    </row>
    <row r="14">
      <c r="A14" s="16" t="n">
        <v>88.62</v>
      </c>
      <c r="B14" s="11">
        <f>ABS(A14-$B$20)</f>
        <v/>
      </c>
    </row>
    <row r="15">
      <c r="A15" s="16" t="n">
        <v>88.73999999999999</v>
      </c>
      <c r="B15" s="11">
        <f>ABS(A15-$B$20)</f>
        <v/>
      </c>
    </row>
    <row r="16">
      <c r="A16" s="16" t="n">
        <v>89.2</v>
      </c>
      <c r="B16" s="11">
        <f>ABS(A16-$B$20)</f>
        <v/>
      </c>
    </row>
    <row r="17">
      <c r="A17" s="16" t="n">
        <v>82.2</v>
      </c>
      <c r="B17" s="11">
        <f>ABS(A17-$B$20)</f>
        <v/>
      </c>
    </row>
    <row r="19">
      <c r="A19" s="5" t="inlineStr">
        <is>
          <t>項目</t>
        </is>
      </c>
      <c r="B19" s="5" t="inlineStr">
        <is>
          <t>結果</t>
        </is>
      </c>
      <c r="C19" s="5" t="inlineStr">
        <is>
          <t>公式</t>
        </is>
      </c>
      <c r="D19" s="5" t="inlineStr">
        <is>
          <t>說明</t>
        </is>
      </c>
    </row>
    <row r="20">
      <c r="A20" s="10" t="inlineStr">
        <is>
          <t>平均數 x̄</t>
        </is>
      </c>
      <c r="B20" s="15">
        <f>AVERAGE(A14:A17)</f>
        <v/>
      </c>
      <c r="C20" s="8" t="inlineStr">
        <is>
          <t>'=AVERAGE(A14:A17)</t>
        </is>
      </c>
    </row>
    <row r="21">
      <c r="A21" s="10" t="inlineStr">
        <is>
          <t>標準差 SD</t>
        </is>
      </c>
      <c r="B21" s="15">
        <f>_xlfn.STDEV.S(A14:A17)</f>
        <v/>
      </c>
      <c r="C21" s="8" t="inlineStr">
        <is>
          <t>'=STDEV.S(A14:A17)</t>
        </is>
      </c>
    </row>
    <row r="22">
      <c r="A22" s="10" t="inlineStr">
        <is>
          <t>n</t>
        </is>
      </c>
      <c r="B22" s="13">
        <f>COUNT(A14:A17)</f>
        <v/>
      </c>
      <c r="C22" s="8" t="inlineStr">
        <is>
          <t>'=COUNT(A14:A17)</t>
        </is>
      </c>
    </row>
    <row r="23">
      <c r="A23" s="6" t="inlineStr">
        <is>
          <t>G值 = MAX(|偏差|)/SD</t>
        </is>
      </c>
      <c r="B23" s="17">
        <f>MAX(B14:B17)/B21</f>
        <v/>
      </c>
      <c r="C23" s="8" t="inlineStr">
        <is>
          <t>'=MAX(B14:B17)/B21</t>
        </is>
      </c>
    </row>
    <row r="24">
      <c r="A24" s="6" t="inlineStr">
        <is>
          <t>查表臨界值 Gcrit</t>
        </is>
      </c>
      <c r="B24" s="19">
        <f>VLOOKUP(B22,$A$2:$B$9,2,FALSE)</f>
        <v/>
      </c>
      <c r="C24" s="8" t="inlineStr">
        <is>
          <t>'=VLOOKUP(B22,$A$2:$B$9,2,FALSE)</t>
        </is>
      </c>
      <c r="D24" s="9" t="inlineStr">
        <is>
          <t>依n用VLOOKUP查表</t>
        </is>
      </c>
    </row>
    <row r="25">
      <c r="A25" s="10" t="inlineStr">
        <is>
          <t>判定</t>
        </is>
      </c>
      <c r="B25" s="10">
        <f>IF(B23&gt;B24,"可剔除(異常值，但差距極小)","保留")</f>
        <v/>
      </c>
      <c r="C25" s="8" t="inlineStr">
        <is>
          <t>'=IF(B23&gt;B24,"可剔除(異常值，但差距極小)","保留")</t>
        </is>
      </c>
    </row>
    <row r="26">
      <c r="A26" s="6" t="inlineStr">
        <is>
          <t>捨棄後平均（用LARGE取最大3筆）</t>
        </is>
      </c>
      <c r="B26" s="12">
        <f>AVERAGE(LARGE(A14:A17,1),LARGE(A14:A17,2),LARGE(A14:A17,3))</f>
        <v/>
      </c>
      <c r="C26" s="8" t="inlineStr">
        <is>
          <t>'=AVERAGE(LARGE(A14:A17,1),LARGE(A14:A17,2),LARGE(A14:A17,3))</t>
        </is>
      </c>
      <c r="D26" s="9" t="inlineStr">
        <is>
          <t>假設可疑值是最小值時的取巧寫法：LARGE取第1~3大</t>
        </is>
      </c>
    </row>
    <row r="27">
      <c r="A27" s="6" t="inlineStr">
        <is>
          <t>捨棄後標準差</t>
        </is>
      </c>
      <c r="B27" s="12">
        <f>_xlfn.STDEV.S(LARGE(A14:A17,1),LARGE(A14:A17,2),LARGE(A14:A17,3))</f>
        <v/>
      </c>
      <c r="C27" s="8" t="inlineStr">
        <is>
          <t>'=STDEV.S(LARGE(A14:A17,1),LARGE(A14:A17,2),LARGE(A14:A17,3))</t>
        </is>
      </c>
    </row>
    <row r="29">
      <c r="A29" s="10" t="inlineStr">
        <is>
          <t>用公式驗算 Gcrit(n=4)（不查表）</t>
        </is>
      </c>
      <c r="B29" s="18">
        <f>((B22-1)/SQRT(B22))*SQRT((_xlfn.T.INV.2T(0.05/B22,B22-2)^2)/(B22-2+_xlfn.T.INV.2T(0.05/B22,B22-2)^2))</f>
        <v/>
      </c>
      <c r="C29" s="8" t="inlineStr">
        <is>
          <t>'=((B22-1)/SQRT(B22))*SQRT((T.INV.2T(0.05/B22,B22-2)^2)/(B22-2+T.INV.2T(0.05/B22,B22-2)^2))</t>
        </is>
      </c>
      <c r="D29" s="9" t="inlineStr">
        <is>
          <t>應該和查表值 1.48125 一致；Excel 不查表也能直接用 T.INV.2T 公式重現同一個數字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10" t="inlineStr">
        <is>
          <t>有效數字例1 (2位)</t>
        </is>
      </c>
      <c r="B2" s="20">
        <f>'有效數字取位'!B2</f>
        <v/>
      </c>
      <c r="C2" s="20" t="n">
        <v>9600</v>
      </c>
      <c r="D2" s="21">
        <f>IF(ABS(B2-C2)&lt;=1e-06,"✓","✗")</f>
        <v/>
      </c>
      <c r="E2" s="22" t="inlineStr">
        <is>
          <t>'有效數字取位'!B2</t>
        </is>
      </c>
    </row>
    <row r="3">
      <c r="A3" s="10" t="inlineStr">
        <is>
          <t>有效數字例3 (加法取位)</t>
        </is>
      </c>
      <c r="B3" s="20">
        <f>'有效數字取位'!B4</f>
        <v/>
      </c>
      <c r="C3" s="20" t="n">
        <v>16.18</v>
      </c>
      <c r="D3" s="21">
        <f>IF(ABS(B3-C3)&lt;=1e-06,"✓","✗")</f>
        <v/>
      </c>
      <c r="E3" s="22" t="inlineStr">
        <is>
          <t>'有效數字取位'!B4</t>
        </is>
      </c>
    </row>
    <row r="4">
      <c r="A4" s="10" t="inlineStr">
        <is>
          <t>稀釋誤當1位 (錯誤示範)</t>
        </is>
      </c>
      <c r="B4" s="20">
        <f>'有效數字取位'!B5</f>
        <v/>
      </c>
      <c r="C4" s="20" t="n">
        <v>2000</v>
      </c>
      <c r="D4" s="21">
        <f>IF(ABS(B4-C4)&lt;=1e-06,"✓","✗")</f>
        <v/>
      </c>
      <c r="E4" s="22" t="inlineStr">
        <is>
          <t>'有效數字取位'!B5</t>
        </is>
      </c>
    </row>
    <row r="5">
      <c r="A5" s="10" t="inlineStr">
        <is>
          <t>稀釋正確3位</t>
        </is>
      </c>
      <c r="B5" s="20">
        <f>'有效數字取位'!B6</f>
        <v/>
      </c>
      <c r="C5" s="20" t="n">
        <v>2180</v>
      </c>
      <c r="D5" s="21">
        <f>IF(ABS(B5-C5)&lt;=1e-06,"✓","✗")</f>
        <v/>
      </c>
      <c r="E5" s="22" t="inlineStr">
        <is>
          <t>'有效數字取位'!B6</t>
        </is>
      </c>
    </row>
    <row r="6">
      <c r="A6" s="10" t="inlineStr">
        <is>
          <t>水分5筆 Q值</t>
        </is>
      </c>
      <c r="B6" s="20">
        <f>'DixonQ檢定'!B25</f>
        <v/>
      </c>
      <c r="C6" s="20" t="n">
        <v>0.933605720122575</v>
      </c>
      <c r="D6" s="21">
        <f>IF(ABS(B6-C6)&lt;=0.00046680286006128754,"✓","✗")</f>
        <v/>
      </c>
      <c r="E6" s="22" t="inlineStr">
        <is>
          <t>'DixonQ檢定'!B25</t>
        </is>
      </c>
    </row>
    <row r="7">
      <c r="A7" s="10" t="inlineStr">
        <is>
          <t>水分5筆 Qcrit(n=5)</t>
        </is>
      </c>
      <c r="B7" s="20">
        <f>'DixonQ檢定'!B26</f>
        <v/>
      </c>
      <c r="C7" s="20" t="n">
        <v>0.64</v>
      </c>
      <c r="D7" s="21">
        <f>IF(ABS(B7-C7)&lt;=1e-06,"✓","✗")</f>
        <v/>
      </c>
      <c r="E7" s="22" t="inlineStr">
        <is>
          <t>'DixonQ檢定'!B26</t>
        </is>
      </c>
    </row>
    <row r="8">
      <c r="A8" s="10" t="inlineStr">
        <is>
          <t>乾物質4筆 Q值</t>
        </is>
      </c>
      <c r="B8" s="20">
        <f>'DixonQ檢定'!B41</f>
        <v/>
      </c>
      <c r="C8" s="20" t="n">
        <v>0.917142857142857</v>
      </c>
      <c r="D8" s="21">
        <f>IF(ABS(B8-C8)&lt;=0.0004585714285714285,"✓","✗")</f>
        <v/>
      </c>
      <c r="E8" s="22" t="inlineStr">
        <is>
          <t>'DixonQ檢定'!B41</t>
        </is>
      </c>
    </row>
    <row r="9">
      <c r="A9" s="10" t="inlineStr">
        <is>
          <t>乾物質4筆 Qcrit(n=4)</t>
        </is>
      </c>
      <c r="B9" s="20">
        <f>'DixonQ檢定'!B42</f>
        <v/>
      </c>
      <c r="C9" s="20" t="n">
        <v>0.76</v>
      </c>
      <c r="D9" s="21">
        <f>IF(ABS(B9-C9)&lt;=1e-06,"✓","✗")</f>
        <v/>
      </c>
      <c r="E9" s="22" t="inlineStr">
        <is>
          <t>'DixonQ檢定'!B42</t>
        </is>
      </c>
    </row>
    <row r="10">
      <c r="A10" s="10" t="inlineStr">
        <is>
          <t>Grubbs G值</t>
        </is>
      </c>
      <c r="B10" s="20">
        <f>'Grubbs檢定'!B23</f>
        <v/>
      </c>
      <c r="C10" s="20" t="n">
        <v>1.49578292784366</v>
      </c>
      <c r="D10" s="21">
        <f>IF(ABS(B10-C10)&lt;=0.0007478914639218301,"✓","✗")</f>
        <v/>
      </c>
      <c r="E10" s="22" t="inlineStr">
        <is>
          <t>'Grubbs檢定'!B23</t>
        </is>
      </c>
    </row>
    <row r="11">
      <c r="A11" s="10" t="inlineStr">
        <is>
          <t>Grubbs Gcrit(n=4,查表)</t>
        </is>
      </c>
      <c r="B11" s="20">
        <f>'Grubbs檢定'!B24</f>
        <v/>
      </c>
      <c r="C11" s="20" t="n">
        <v>1.48125</v>
      </c>
      <c r="D11" s="21">
        <f>IF(ABS(B11-C11)&lt;=0.000740625,"✓","✗")</f>
        <v/>
      </c>
      <c r="E11" s="22" t="inlineStr">
        <is>
          <t>'Grubbs檢定'!B24</t>
        </is>
      </c>
    </row>
    <row r="12">
      <c r="A12" s="10" t="inlineStr">
        <is>
          <t>Grubbs Gcrit(n=4,公式驗算)</t>
        </is>
      </c>
      <c r="B12" s="20">
        <f>'Grubbs檢定'!B29</f>
        <v/>
      </c>
      <c r="C12" s="20" t="n">
        <v>1.48125</v>
      </c>
      <c r="D12" s="21">
        <f>IF(ABS(B12-C12)&lt;=0.000740625,"✓","✗")</f>
        <v/>
      </c>
      <c r="E12" s="22" t="inlineStr">
        <is>
          <t>'Grubbs檢定'!B29</t>
        </is>
      </c>
    </row>
    <row r="13">
      <c r="A13" s="10" t="inlineStr">
        <is>
          <t>捨棄後平均</t>
        </is>
      </c>
      <c r="B13" s="20">
        <f>'Grubbs檢定'!B26</f>
        <v/>
      </c>
      <c r="C13" s="20" t="n">
        <v>88.8533333333333</v>
      </c>
      <c r="D13" s="21">
        <f>IF(ABS(B13-C13)&lt;=0.04442666666666665,"✓","✗")</f>
        <v/>
      </c>
      <c r="E13" s="22" t="inlineStr">
        <is>
          <t>'Grubbs檢定'!B26</t>
        </is>
      </c>
    </row>
    <row r="14">
      <c r="A14" s="10" t="inlineStr">
        <is>
          <t>捨棄後標準差</t>
        </is>
      </c>
      <c r="B14" s="20">
        <f>'Grubbs檢定'!B27</f>
        <v/>
      </c>
      <c r="C14" s="20" t="n">
        <v>0.306159000085468</v>
      </c>
      <c r="D14" s="21">
        <f>IF(ABS(B14-C14)&lt;=0.000153079500042734,"✓","✗")</f>
        <v/>
      </c>
      <c r="E14" s="22" t="inlineStr">
        <is>
          <t>'Grubbs檢定'!B27</t>
        </is>
      </c>
    </row>
    <row r="16">
      <c r="A16" s="9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2026-09-17T18:08:36Z</dcterms:created>
  <dcterms:modified xmlns:dcterms="http://purl.org/dc/terms/" xmlns:xsi="http://www.w3.org/2001/XMLSchema-instance" xsi:type="dcterms:W3CDTF">2026-09-17T18:08:36Z</dcterms:modified>
</cp:coreProperties>
</file>