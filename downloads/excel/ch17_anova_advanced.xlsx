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雙因子ANOVA" sheetId="2" state="visible" r:id="rId2"/>
    <sheet xmlns:r="http://schemas.openxmlformats.org/officeDocument/2006/relationships" name="ISO5725精密度分解" sheetId="3" state="visible" r:id="rId3"/>
    <sheet xmlns:r="http://schemas.openxmlformats.org/officeDocument/2006/relationships" name="失擬檢定" sheetId="4" state="visible" r:id="rId4"/>
    <sheet xmlns:r="http://schemas.openxmlformats.org/officeDocument/2006/relationships" name="對照R答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9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Consolas"/>
      <color rgb="001565C0"/>
      <sz val="10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164" fontId="6" fillId="3" borderId="1" pivotButton="0" quotePrefix="0" xfId="0"/>
    <xf numFmtId="0" fontId="6" fillId="0" borderId="1" pivotButton="0" quotePrefix="0" xfId="0"/>
    <xf numFmtId="165" fontId="6" fillId="0" borderId="1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1" pivotButton="0" quotePrefix="0" xfId="0"/>
    <xf numFmtId="165" fontId="8" fillId="4" borderId="1" pivotButton="0" quotePrefix="0" xfId="0"/>
    <xf numFmtId="1" fontId="6" fillId="0" borderId="1" pivotButton="0" quotePrefix="0" xfId="0"/>
    <xf numFmtId="2" fontId="6" fillId="3" borderId="1" pivotButton="0" quotePrefix="0" xfId="0"/>
    <xf numFmtId="1" fontId="6" fillId="3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Ch17 ANOVA 進階：雙因子、精密度分解、失擬檢定</t>
        </is>
      </c>
    </row>
    <row r="2">
      <c r="A2" s="2" t="inlineStr">
        <is>
          <t>對應網頁：ch17.html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三張計算表對應本章三個主題：「雙因子ANOVA」拆出溫度、時間與交互作用的效應（芭樂片乾燥維生素C保留率）；「ISO5725精密度分解」把日間、日內變異從一張單因子 ANOVA 表拆成重複性 s_r 與中間精密度 s_I（奶粉QC）；「失擬檢定」檢查 HPLC 咖啡因標準曲線是不是真的直（純誤差 vs 失擬）。</t>
        </is>
      </c>
    </row>
    <row r="6">
      <c r="A6" s="3" t="inlineStr">
        <is>
          <t>怎麼用</t>
        </is>
      </c>
    </row>
    <row r="7">
      <c r="A7" s="4" t="inlineStr">
        <is>
          <t>1. 「雙因子ANOVA」左邊黃色是 3 溫度 × 2 時間 × 3 重複＝18 筆數據；右邊照 SS_A（溫度）→SS_B（時間）→SS_AB（交互作用）→SS_error 的順序拆開算。</t>
        </is>
      </c>
    </row>
    <row r="8">
      <c r="A8" s="4" t="inlineStr">
        <is>
          <t>2. 「ISO5725精密度分解」試著把某一天的三個數值改得很接近，看 s_between 會不會變成需要 MAX(0,…) 保護的負值。</t>
        </is>
      </c>
    </row>
    <row r="9">
      <c r="A9" s="4" t="inlineStr">
        <is>
          <t>3. 「失擬檢定」把任一濃度的三個重複值改得很分散，看純誤差 SS 變大、F 變小、p 變大（模型看起來更「夠用」，但那是假象——一定要同時看殘差圖）。</t>
        </is>
      </c>
    </row>
    <row r="10">
      <c r="A10" s="4" t="inlineStr">
        <is>
          <t>4. 「對照R答案」核對所有關鍵結果。</t>
        </is>
      </c>
    </row>
    <row r="11">
      <c r="A11" s="3" t="inlineStr">
        <is>
          <t>觀念提醒</t>
        </is>
      </c>
    </row>
    <row r="12">
      <c r="A12" s="4" t="inlineStr">
        <is>
          <t>① 雙因子 ANOVA 交互作用顯著時，主效應（單獨看溫度或時間）沒有意義，要看每個溫度下時間的效應（simple effects）。</t>
        </is>
      </c>
    </row>
    <row r="13">
      <c r="A13" s="4" t="inlineStr">
        <is>
          <t>② s_between² 算出負值不是算錯，是日間變異真的很小時的正常抽樣結果，慣例取 0（Excel 用 MAX(0,…) 處理）。</t>
        </is>
      </c>
    </row>
    <row r="14">
      <c r="A14" s="4" t="inlineStr">
        <is>
          <t>③ r² 很高不代表直線：失擬檢定才是專門檢查「彎不彎」的工具，而且一定要有重複點才能做（純誤差需要重複）。</t>
        </is>
      </c>
    </row>
    <row r="15">
      <c r="A15" s="3" t="inlineStr">
        <is>
          <t>資料分析工具箱操作步驟</t>
        </is>
      </c>
    </row>
    <row r="16">
      <c r="A16" s="4" t="inlineStr">
        <is>
          <t>① 啟用：檔案 → 選項 → 增益集 → 管理「Excel 增益集」→ 執行 → 勾選「分析工具箱」。</t>
        </is>
      </c>
    </row>
    <row r="17">
      <c r="A17" s="4" t="inlineStr">
        <is>
          <t>② 雙因子 ANOVA（有重複，本章 A 部分）：資料排成「列＝溫度水準（每個水準連續 3 列＝重複數）、欄＝時間水準」的矩陣，範圍要包含列/欄標籤；「資料」→「資料分析」→「雙因子變異數分析：重複試驗」→ 輸入範圍框住整塊（含標籤）、「每一樣本的列數」填 3（＝每格重複數）、α=0.05。輸出「樣本」＝溫度（列因子）SS、「欄」＝時間 SS、「交互作用」SS、「組內」＝誤差 SS，逐列對應本活頁簿的 SS_A、SS_B、SS_AB、SS_error。</t>
        </is>
      </c>
    </row>
    <row r="18">
      <c r="A18" s="4" t="inlineStr">
        <is>
          <t>③ 這個工具只接受&lt;b&gt;平衡設計&lt;/b&gt;（每格筆數相同）；缺一筆就不能用。</t>
        </is>
      </c>
    </row>
    <row r="19">
      <c r="A19" s="4" t="inlineStr">
        <is>
          <t>④ 精密度分解（本章 B 部分）：5 天的數據排成 5 欄（每欄 3 筆），工具選「單因子變異數分析」，從輸出表讀「組間 MS」與「組內 MS」，再用公式手算 s_r=SQRT(組內MS)、s_between=SQRT(MAX(0,(組間MS−組內MS)/3))、s_I=SQRT(SUMSQ(s_r,s_between))——工具箱本身不會幫你拆到這一步。</t>
        </is>
      </c>
    </row>
    <row r="20">
      <c r="A20" s="4" t="inlineStr">
        <is>
          <t>⑤ 失擬檢定（本章 C 部分）工具箱沒有直接對應的工具；可以用「資料分析→迴歸」取得殘差 SS，再用 DEVSQ 逐濃度加總算純誤差 SS，兩者相減得失擬 SS（見「失擬檢定」工作表）。</t>
        </is>
      </c>
    </row>
    <row r="21">
      <c r="A21" s="4" t="inlineStr">
        <is>
          <t>⑥ 工具箱輸出一律是靜態表，改數據要重新跑一次「資料分析」；本活頁簿的公式版會自動重算。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" customWidth="1" min="4" max="4"/>
    <col width="60" customWidth="1" min="5" max="5"/>
  </cols>
  <sheetData>
    <row r="1">
      <c r="A1" s="5" t="inlineStr">
        <is>
          <t>溫度(°C)</t>
        </is>
      </c>
      <c r="B1" s="5" t="inlineStr">
        <is>
          <t>4h 保留率(%)</t>
        </is>
      </c>
      <c r="C1" s="5" t="inlineStr">
        <is>
          <t>8h 保留率(%)</t>
        </is>
      </c>
    </row>
    <row r="2">
      <c r="A2" s="4" t="n">
        <v>50</v>
      </c>
      <c r="B2" s="6" t="n">
        <v>90.5</v>
      </c>
      <c r="C2" s="6" t="n">
        <v>88.5</v>
      </c>
    </row>
    <row r="3">
      <c r="A3" s="4" t="n">
        <v>50</v>
      </c>
      <c r="B3" s="6" t="n">
        <v>91.90000000000001</v>
      </c>
      <c r="C3" s="6" t="n">
        <v>89.8</v>
      </c>
    </row>
    <row r="4">
      <c r="A4" s="4" t="n">
        <v>50</v>
      </c>
      <c r="B4" s="6" t="n">
        <v>91.7</v>
      </c>
      <c r="C4" s="6" t="n">
        <v>89</v>
      </c>
    </row>
    <row r="5">
      <c r="A5" s="4" t="n">
        <v>60</v>
      </c>
      <c r="B5" s="6" t="n">
        <v>83.8</v>
      </c>
      <c r="C5" s="6" t="n">
        <v>77.90000000000001</v>
      </c>
    </row>
    <row r="6">
      <c r="A6" s="4" t="n">
        <v>60</v>
      </c>
      <c r="B6" s="6" t="n">
        <v>86.2</v>
      </c>
      <c r="C6" s="6" t="n">
        <v>76.3</v>
      </c>
    </row>
    <row r="7">
      <c r="A7" s="4" t="n">
        <v>60</v>
      </c>
      <c r="B7" s="6" t="n">
        <v>84.8</v>
      </c>
      <c r="C7" s="6" t="n">
        <v>78.40000000000001</v>
      </c>
    </row>
    <row r="8">
      <c r="A8" s="4" t="n">
        <v>70</v>
      </c>
      <c r="B8" s="6" t="n">
        <v>75.5</v>
      </c>
      <c r="C8" s="6" t="n">
        <v>54.9</v>
      </c>
    </row>
    <row r="9">
      <c r="A9" s="4" t="n">
        <v>70</v>
      </c>
      <c r="B9" s="6" t="n">
        <v>76.59999999999999</v>
      </c>
      <c r="C9" s="6" t="n">
        <v>56.3</v>
      </c>
    </row>
    <row r="10">
      <c r="A10" s="4" t="n">
        <v>70</v>
      </c>
      <c r="B10" s="6" t="n">
        <v>74.40000000000001</v>
      </c>
      <c r="C10" s="6" t="n">
        <v>55.2</v>
      </c>
    </row>
    <row r="12">
      <c r="A12" s="5" t="inlineStr">
        <is>
          <t>項目</t>
        </is>
      </c>
      <c r="B12" s="5" t="inlineStr">
        <is>
          <t>結果</t>
        </is>
      </c>
      <c r="C12" s="5" t="inlineStr">
        <is>
          <t>公式</t>
        </is>
      </c>
      <c r="D12" s="5" t="inlineStr">
        <is>
          <t>白話說明</t>
        </is>
      </c>
    </row>
    <row r="13">
      <c r="A13" s="7" t="inlineStr">
        <is>
          <t>總平均 grand mean</t>
        </is>
      </c>
      <c r="B13" s="8">
        <f>AVERAGE(B2:C10)</f>
        <v/>
      </c>
      <c r="C13" s="9" t="inlineStr">
        <is>
          <t>'=AVERAGE(B2:C10)</t>
        </is>
      </c>
    </row>
    <row r="14">
      <c r="A14" s="7" t="inlineStr">
        <is>
          <t>溫度平均 50°C</t>
        </is>
      </c>
      <c r="B14" s="8">
        <f>(AVERAGEIF(A2:A10,50,B2:B10)+AVERAGEIF(A2:A10,50,C2:C10))/2</f>
        <v/>
      </c>
      <c r="C14" s="9" t="inlineStr">
        <is>
          <t>'=(AVERAGEIF(A2:A10,50,B2:B10)+AVERAGEIF(A2:A10,50,C2:C10))/2</t>
        </is>
      </c>
      <c r="D14" s="10" t="inlineStr">
        <is>
          <t>同一溫度下 4h、8h 兩欄各自平均再平均（各 3 筆，等重）</t>
        </is>
      </c>
    </row>
    <row r="15">
      <c r="A15" s="7" t="inlineStr">
        <is>
          <t>溫度平均 60°C</t>
        </is>
      </c>
      <c r="B15" s="8">
        <f>(AVERAGEIF(A2:A10,60,B2:B10)+AVERAGEIF(A2:A10,60,C2:C10))/2</f>
        <v/>
      </c>
      <c r="C15" s="9" t="inlineStr">
        <is>
          <t>'=(AVERAGEIF(A2:A10,60,B2:B10)+AVERAGEIF(A2:A10,60,C2:C10))/2</t>
        </is>
      </c>
    </row>
    <row r="16">
      <c r="A16" s="7" t="inlineStr">
        <is>
          <t>溫度平均 70°C</t>
        </is>
      </c>
      <c r="B16" s="8">
        <f>(AVERAGEIF(A2:A10,70,B2:B10)+AVERAGEIF(A2:A10,70,C2:C10))/2</f>
        <v/>
      </c>
      <c r="C16" s="9" t="inlineStr">
        <is>
          <t>'=(AVERAGEIF(A2:A10,70,B2:B10)+AVERAGEIF(A2:A10,70,C2:C10))/2</t>
        </is>
      </c>
    </row>
    <row r="17">
      <c r="A17" s="7" t="inlineStr">
        <is>
          <t>時間平均 4h</t>
        </is>
      </c>
      <c r="B17" s="8">
        <f>AVERAGE(B2:B10)</f>
        <v/>
      </c>
      <c r="C17" s="9" t="inlineStr">
        <is>
          <t>'=AVERAGE(B2:B10)</t>
        </is>
      </c>
      <c r="D17" s="10" t="inlineStr">
        <is>
          <t>4h 欄本身就橫跨三個溫度，直接平均即為時間的邊際平均</t>
        </is>
      </c>
    </row>
    <row r="18">
      <c r="A18" s="7" t="inlineStr">
        <is>
          <t>時間平均 8h</t>
        </is>
      </c>
      <c r="B18" s="8">
        <f>AVERAGE(C2:C10)</f>
        <v/>
      </c>
      <c r="C18" s="9" t="inlineStr">
        <is>
          <t>'=AVERAGE(C2:C10)</t>
        </is>
      </c>
    </row>
    <row r="19">
      <c r="A19" s="7" t="inlineStr">
        <is>
          <t>格平均 50°C×4h</t>
        </is>
      </c>
      <c r="B19" s="8">
        <f>AVERAGEIF(A2:A10,50,B2:B10)</f>
        <v/>
      </c>
      <c r="C19" s="9" t="inlineStr">
        <is>
          <t>'=AVERAGEIF(A2:A10,50,B2:B10)</t>
        </is>
      </c>
    </row>
    <row r="20">
      <c r="A20" s="7" t="inlineStr">
        <is>
          <t>格平均 50°C×8h</t>
        </is>
      </c>
      <c r="B20" s="8">
        <f>AVERAGEIF(A2:A10,50,C2:C10)</f>
        <v/>
      </c>
      <c r="C20" s="9" t="inlineStr">
        <is>
          <t>'=AVERAGEIF(A2:A10,50,C2:C10)</t>
        </is>
      </c>
    </row>
    <row r="21">
      <c r="A21" s="7" t="inlineStr">
        <is>
          <t>格平均 60°C×4h</t>
        </is>
      </c>
      <c r="B21" s="8">
        <f>AVERAGEIF(A2:A10,60,B2:B10)</f>
        <v/>
      </c>
      <c r="C21" s="9" t="inlineStr">
        <is>
          <t>'=AVERAGEIF(A2:A10,60,B2:B10)</t>
        </is>
      </c>
    </row>
    <row r="22">
      <c r="A22" s="7" t="inlineStr">
        <is>
          <t>格平均 60°C×8h</t>
        </is>
      </c>
      <c r="B22" s="8">
        <f>AVERAGEIF(A2:A10,60,C2:C10)</f>
        <v/>
      </c>
      <c r="C22" s="9" t="inlineStr">
        <is>
          <t>'=AVERAGEIF(A2:A10,60,C2:C10)</t>
        </is>
      </c>
    </row>
    <row r="23">
      <c r="A23" s="7" t="inlineStr">
        <is>
          <t>格平均 70°C×4h</t>
        </is>
      </c>
      <c r="B23" s="8">
        <f>AVERAGEIF(A2:A10,70,B2:B10)</f>
        <v/>
      </c>
      <c r="C23" s="9" t="inlineStr">
        <is>
          <t>'=AVERAGEIF(A2:A10,70,B2:B10)</t>
        </is>
      </c>
    </row>
    <row r="24">
      <c r="A24" s="7" t="inlineStr">
        <is>
          <t>格平均 70°C×8h</t>
        </is>
      </c>
      <c r="B24" s="8">
        <f>AVERAGEIF(A2:A10,70,C2:C10)</f>
        <v/>
      </c>
      <c r="C24" s="9" t="inlineStr">
        <is>
          <t>'=AVERAGEIF(A2:A10,70,C2:C10)</t>
        </is>
      </c>
    </row>
    <row r="26">
      <c r="A26" s="11" t="inlineStr">
        <is>
          <t>SS_total</t>
        </is>
      </c>
      <c r="B26" s="12">
        <f>DEVSQ(B2:C10)</f>
        <v/>
      </c>
      <c r="C26" s="9" t="inlineStr">
        <is>
          <t>'=DEVSQ(B2:C10)</t>
        </is>
      </c>
    </row>
    <row r="27">
      <c r="A27" s="7" t="inlineStr">
        <is>
          <t>SS_cells（各格平均離總平均，×n=3）</t>
        </is>
      </c>
      <c r="B27" s="8">
        <f>3*((B19-B13)^2+(B20-B13)^2+(B21-B13)^2+(B22-B13)^2+(B23-B13)^2+(B24-B13)^2)</f>
        <v/>
      </c>
      <c r="C27" s="9" t="inlineStr">
        <is>
          <t>'=3*((B19-B13)^2+(B20-B13)^2+(B21-B13)^2+(B22-B13)^2+(B23-B13)^2+(B24-B13)^2)</t>
        </is>
      </c>
    </row>
    <row r="28">
      <c r="A28" s="11" t="inlineStr">
        <is>
          <t>SS_A（溫度）＝b×n×Σ(溫度平均−總平均)²，b=2,n=3</t>
        </is>
      </c>
      <c r="B28" s="12">
        <f>6*((B14-B13)^2+(B15-B13)^2+(B16-B13)^2)</f>
        <v/>
      </c>
      <c r="C28" s="9" t="inlineStr">
        <is>
          <t>'=6*((B14-B13)^2+(B15-B13)^2+(B16-B13)^2)</t>
        </is>
      </c>
    </row>
    <row r="29">
      <c r="A29" s="11" t="inlineStr">
        <is>
          <t>SS_B（時間）＝a×n×Σ(時間平均−總平均)²，a=3,n=3</t>
        </is>
      </c>
      <c r="B29" s="12">
        <f>9*((B17-B13)^2+(B18-B13)^2)</f>
        <v/>
      </c>
      <c r="C29" s="9" t="inlineStr">
        <is>
          <t>'=9*((B17-B13)^2+(B18-B13)^2)</t>
        </is>
      </c>
    </row>
    <row r="30">
      <c r="A30" s="11" t="inlineStr">
        <is>
          <t>SS_AB（交互作用）＝SS_cells−SS_A−SS_B</t>
        </is>
      </c>
      <c r="B30" s="12">
        <f>B27-B28-B29</f>
        <v/>
      </c>
      <c r="C30" s="9" t="inlineStr">
        <is>
          <t>'=B27-B28-B29</t>
        </is>
      </c>
    </row>
    <row r="31">
      <c r="A31" s="7" t="inlineStr">
        <is>
          <t>SS_error＝SS_total−SS_cells</t>
        </is>
      </c>
      <c r="B31" s="8">
        <f>B26-B27</f>
        <v/>
      </c>
      <c r="C31" s="9" t="inlineStr">
        <is>
          <t>'=B26-B27</t>
        </is>
      </c>
    </row>
    <row r="32">
      <c r="A32" s="7" t="inlineStr">
        <is>
          <t>df_A</t>
        </is>
      </c>
      <c r="B32" s="13" t="n">
        <v>2</v>
      </c>
    </row>
    <row r="33">
      <c r="A33" s="7" t="inlineStr">
        <is>
          <t>df_B</t>
        </is>
      </c>
      <c r="B33" s="13" t="n">
        <v>1</v>
      </c>
    </row>
    <row r="34">
      <c r="A34" s="7" t="inlineStr">
        <is>
          <t>df_AB</t>
        </is>
      </c>
      <c r="B34" s="13" t="n">
        <v>2</v>
      </c>
    </row>
    <row r="35">
      <c r="A35" s="7" t="inlineStr">
        <is>
          <t>df_error</t>
        </is>
      </c>
      <c r="B35" s="13">
        <f>COUNT(B2:C10)-6</f>
        <v/>
      </c>
      <c r="C35" s="9" t="inlineStr">
        <is>
          <t>'=COUNT(B2:C10)-6</t>
        </is>
      </c>
      <c r="D35" s="10" t="inlineStr">
        <is>
          <t>18筆 − 6格 = 12</t>
        </is>
      </c>
    </row>
    <row r="36">
      <c r="A36" s="7" t="inlineStr">
        <is>
          <t>MS_A</t>
        </is>
      </c>
      <c r="B36" s="8">
        <f>B28/B32</f>
        <v/>
      </c>
      <c r="C36" s="9" t="inlineStr">
        <is>
          <t>'=B28/B32</t>
        </is>
      </c>
    </row>
    <row r="37">
      <c r="A37" s="7" t="inlineStr">
        <is>
          <t>MS_B</t>
        </is>
      </c>
      <c r="B37" s="8">
        <f>B29/B33</f>
        <v/>
      </c>
      <c r="C37" s="9" t="inlineStr">
        <is>
          <t>'=B29/B33</t>
        </is>
      </c>
    </row>
    <row r="38">
      <c r="A38" s="7" t="inlineStr">
        <is>
          <t>MS_AB</t>
        </is>
      </c>
      <c r="B38" s="8">
        <f>B30/B34</f>
        <v/>
      </c>
      <c r="C38" s="9" t="inlineStr">
        <is>
          <t>'=B30/B34</t>
        </is>
      </c>
    </row>
    <row r="39">
      <c r="A39" s="7" t="inlineStr">
        <is>
          <t>MS_error</t>
        </is>
      </c>
      <c r="B39" s="8">
        <f>B31/B35</f>
        <v/>
      </c>
      <c r="C39" s="9" t="inlineStr">
        <is>
          <t>'=B31/B35</t>
        </is>
      </c>
    </row>
    <row r="40">
      <c r="A40" s="11" t="inlineStr">
        <is>
          <t>F_A（溫度）</t>
        </is>
      </c>
      <c r="B40" s="12">
        <f>B36/B39</f>
        <v/>
      </c>
      <c r="C40" s="9" t="inlineStr">
        <is>
          <t>'=B36/B39</t>
        </is>
      </c>
    </row>
    <row r="41">
      <c r="A41" s="11" t="inlineStr">
        <is>
          <t>F_B（時間）</t>
        </is>
      </c>
      <c r="B41" s="12">
        <f>B37/B39</f>
        <v/>
      </c>
      <c r="C41" s="9" t="inlineStr">
        <is>
          <t>'=B37/B39</t>
        </is>
      </c>
    </row>
    <row r="42">
      <c r="A42" s="11" t="inlineStr">
        <is>
          <t>F_AB（交互作用）</t>
        </is>
      </c>
      <c r="B42" s="12">
        <f>B38/B39</f>
        <v/>
      </c>
      <c r="C42" s="9" t="inlineStr">
        <is>
          <t>'=B38/B39</t>
        </is>
      </c>
    </row>
    <row r="43">
      <c r="A43" s="11" t="inlineStr">
        <is>
          <t>p_A</t>
        </is>
      </c>
      <c r="B43" s="12">
        <f>_xlfn.F.DIST.RT(B40,B32,B35)</f>
        <v/>
      </c>
      <c r="C43" s="9" t="inlineStr">
        <is>
          <t>'=F.DIST.RT(B40,B32,B35)</t>
        </is>
      </c>
    </row>
    <row r="44">
      <c r="A44" s="7" t="inlineStr">
        <is>
          <t>p_B</t>
        </is>
      </c>
      <c r="B44" s="8">
        <f>_xlfn.F.DIST.RT(B41,B33,B35)</f>
        <v/>
      </c>
      <c r="C44" s="9" t="inlineStr">
        <is>
          <t>'=F.DIST.RT(B41,B33,B35)</t>
        </is>
      </c>
    </row>
    <row r="45">
      <c r="A45" s="11" t="inlineStr">
        <is>
          <t>p_AB（交互作用）</t>
        </is>
      </c>
      <c r="B45" s="12">
        <f>_xlfn.F.DIST.RT(B42,B34,B35)</f>
        <v/>
      </c>
      <c r="C45" s="9" t="inlineStr">
        <is>
          <t>'=F.DIST.RT(B42,B34,B35)</t>
        </is>
      </c>
      <c r="D45" s="10" t="inlineStr">
        <is>
          <t>先看這一列！顯著就不能只看主效應</t>
        </is>
      </c>
    </row>
    <row r="47">
      <c r="A47" s="10" t="inlineStr">
        <is>
          <t>讀表順序：先看交互作用 p_AB。本例交互作用極顯著，代表「時間的效應隨溫度而不同」，主效應（時間平均少 9.9 個百分點）不能單獨解讀。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  <col width="60" customWidth="1" min="4" max="4"/>
  </cols>
  <sheetData>
    <row r="1">
      <c r="A1" s="5" t="inlineStr">
        <is>
          <t>day1</t>
        </is>
      </c>
      <c r="B1" s="5" t="inlineStr">
        <is>
          <t>day2</t>
        </is>
      </c>
      <c r="C1" s="5" t="inlineStr">
        <is>
          <t>day3</t>
        </is>
      </c>
      <c r="D1" s="5" t="inlineStr">
        <is>
          <t>day4</t>
        </is>
      </c>
      <c r="E1" s="5" t="inlineStr">
        <is>
          <t>day5</t>
        </is>
      </c>
    </row>
    <row r="2">
      <c r="A2" s="14" t="n">
        <v>26.45</v>
      </c>
      <c r="B2" s="14" t="n">
        <v>26.52</v>
      </c>
      <c r="C2" s="14" t="n">
        <v>26.4</v>
      </c>
      <c r="D2" s="14" t="n">
        <v>26.27</v>
      </c>
      <c r="E2" s="14" t="n">
        <v>26.57</v>
      </c>
    </row>
    <row r="3">
      <c r="A3" s="14" t="n">
        <v>26.35</v>
      </c>
      <c r="B3" s="14" t="n">
        <v>26.46</v>
      </c>
      <c r="C3" s="14" t="n">
        <v>26.49</v>
      </c>
      <c r="D3" s="14" t="n">
        <v>26.26</v>
      </c>
      <c r="E3" s="14" t="n">
        <v>26.56</v>
      </c>
    </row>
    <row r="4">
      <c r="A4" s="14" t="n">
        <v>26.57</v>
      </c>
      <c r="B4" s="14" t="n">
        <v>26.7</v>
      </c>
      <c r="C4" s="14" t="n">
        <v>26.59</v>
      </c>
      <c r="D4" s="14" t="n">
        <v>26.33</v>
      </c>
      <c r="E4" s="14" t="n">
        <v>26.44</v>
      </c>
    </row>
    <row r="6">
      <c r="A6" s="5" t="inlineStr">
        <is>
          <t>項目</t>
        </is>
      </c>
      <c r="B6" s="5" t="inlineStr">
        <is>
          <t>結果</t>
        </is>
      </c>
      <c r="C6" s="5" t="inlineStr">
        <is>
          <t>公式</t>
        </is>
      </c>
      <c r="D6" s="5" t="inlineStr">
        <is>
          <t>白話說明</t>
        </is>
      </c>
    </row>
    <row r="7">
      <c r="A7" s="7" t="inlineStr">
        <is>
          <t>日平均 day1</t>
        </is>
      </c>
      <c r="B7" s="8">
        <f>AVERAGE(A2:A4)</f>
        <v/>
      </c>
      <c r="C7" s="9" t="inlineStr">
        <is>
          <t>'=AVERAGE(A2:A4)</t>
        </is>
      </c>
    </row>
    <row r="8">
      <c r="A8" s="7" t="inlineStr">
        <is>
          <t>日平均 day2</t>
        </is>
      </c>
      <c r="B8" s="8">
        <f>AVERAGE(B2:B4)</f>
        <v/>
      </c>
      <c r="C8" s="9" t="inlineStr">
        <is>
          <t>'=AVERAGE(B2:B4)</t>
        </is>
      </c>
    </row>
    <row r="9">
      <c r="A9" s="7" t="inlineStr">
        <is>
          <t>日平均 day3</t>
        </is>
      </c>
      <c r="B9" s="8">
        <f>AVERAGE(C2:C4)</f>
        <v/>
      </c>
      <c r="C9" s="9" t="inlineStr">
        <is>
          <t>'=AVERAGE(C2:C4)</t>
        </is>
      </c>
    </row>
    <row r="10">
      <c r="A10" s="7" t="inlineStr">
        <is>
          <t>日平均 day4</t>
        </is>
      </c>
      <c r="B10" s="8">
        <f>AVERAGE(D2:D4)</f>
        <v/>
      </c>
      <c r="C10" s="9" t="inlineStr">
        <is>
          <t>'=AVERAGE(D2:D4)</t>
        </is>
      </c>
    </row>
    <row r="11">
      <c r="A11" s="7" t="inlineStr">
        <is>
          <t>日平均 day5</t>
        </is>
      </c>
      <c r="B11" s="8">
        <f>AVERAGE(E2:E4)</f>
        <v/>
      </c>
      <c r="C11" s="9" t="inlineStr">
        <is>
          <t>'=AVERAGE(E2:E4)</t>
        </is>
      </c>
    </row>
    <row r="12">
      <c r="A12" s="7" t="inlineStr">
        <is>
          <t>總平均</t>
        </is>
      </c>
      <c r="B12" s="8">
        <f>AVERAGE(A2:E4)</f>
        <v/>
      </c>
      <c r="C12" s="9" t="inlineStr">
        <is>
          <t>'=AVERAGE(A2:E4)</t>
        </is>
      </c>
    </row>
    <row r="13">
      <c r="A13" s="7" t="inlineStr">
        <is>
          <t>SS_between（日間）</t>
        </is>
      </c>
      <c r="B13" s="8">
        <f>3*((B7-B12)^2+(B8-B12)^2+(B9-B12)^2+(B10-B12)^2+(B11-B12)^2)</f>
        <v/>
      </c>
      <c r="C13" s="9" t="inlineStr">
        <is>
          <t>'=3*((B7-B12)^2+(B8-B12)^2+(B9-B12)^2+(B10-B12)^2+(B11-B12)^2)</t>
        </is>
      </c>
    </row>
    <row r="14">
      <c r="A14" s="7" t="inlineStr">
        <is>
          <t>SS_within（日內）</t>
        </is>
      </c>
      <c r="B14" s="8">
        <f>DEVSQ(A2:A4)+DEVSQ(B2:B4)+DEVSQ(C2:C4)+DEVSQ(D2:D4)+DEVSQ(E2:E4)</f>
        <v/>
      </c>
      <c r="C14" s="9" t="inlineStr">
        <is>
          <t>'=DEVSQ(A2:A4)+DEVSQ(B2:B4)+DEVSQ(C2:C4)+DEVSQ(D2:D4)+DEVSQ(E2:E4)</t>
        </is>
      </c>
    </row>
    <row r="15">
      <c r="A15" s="7" t="inlineStr">
        <is>
          <t>df_between</t>
        </is>
      </c>
      <c r="B15" s="13" t="n">
        <v>4</v>
      </c>
    </row>
    <row r="16">
      <c r="A16" s="7" t="inlineStr">
        <is>
          <t>df_within</t>
        </is>
      </c>
      <c r="B16" s="13" t="n">
        <v>10</v>
      </c>
    </row>
    <row r="17">
      <c r="A17" s="7" t="inlineStr">
        <is>
          <t>MS_between</t>
        </is>
      </c>
      <c r="B17" s="8">
        <f>B13/B15</f>
        <v/>
      </c>
      <c r="C17" s="9" t="inlineStr">
        <is>
          <t>'=B13/B15</t>
        </is>
      </c>
    </row>
    <row r="18">
      <c r="A18" s="7" t="inlineStr">
        <is>
          <t>MS_within</t>
        </is>
      </c>
      <c r="B18" s="8">
        <f>B14/B16</f>
        <v/>
      </c>
      <c r="C18" s="9" t="inlineStr">
        <is>
          <t>'=B14/B16</t>
        </is>
      </c>
    </row>
    <row r="19">
      <c r="A19" s="11" t="inlineStr">
        <is>
          <t>重複性 s_r</t>
        </is>
      </c>
      <c r="B19" s="12">
        <f>SQRT(B18)</f>
        <v/>
      </c>
      <c r="C19" s="9" t="inlineStr">
        <is>
          <t>'=SQRT(B18)</t>
        </is>
      </c>
      <c r="D19" s="10" t="inlineStr">
        <is>
          <t>即 √MS_within</t>
        </is>
      </c>
    </row>
    <row r="20">
      <c r="A20" s="11" t="inlineStr">
        <is>
          <t>日間 s_between</t>
        </is>
      </c>
      <c r="B20" s="12">
        <f>SQRT(MAX(0,(B17-B18)/3))</f>
        <v/>
      </c>
      <c r="C20" s="9" t="inlineStr">
        <is>
          <t>'=SQRT(MAX(0,(B17-B18)/3))</t>
        </is>
      </c>
      <c r="D20" s="10" t="inlineStr">
        <is>
          <t>MAX(0,…) 處理負值；3=每天重複數</t>
        </is>
      </c>
    </row>
    <row r="21">
      <c r="A21" s="11" t="inlineStr">
        <is>
          <t>中間精密度 s_I</t>
        </is>
      </c>
      <c r="B21" s="12">
        <f>SQRT(SUMSQ(B19,B20))</f>
        <v/>
      </c>
      <c r="C21" s="9" t="inlineStr">
        <is>
          <t>'=SQRT(SUMSQ(B19,B20))</t>
        </is>
      </c>
      <c r="D21" s="10" t="inlineStr">
        <is>
          <t>即 √(s_r² + s_between²)</t>
        </is>
      </c>
    </row>
    <row r="22">
      <c r="A22" s="11" t="inlineStr">
        <is>
          <t>✗ 對照：全部15格直接 STDEV.S</t>
        </is>
      </c>
      <c r="B22" s="12">
        <f>_xlfn.STDEV.S(A2:E4)</f>
        <v/>
      </c>
      <c r="C22" s="9" t="inlineStr">
        <is>
          <t>'=STDEV.S(A2:E4)</t>
        </is>
      </c>
      <c r="D22" s="10" t="inlineStr">
        <is>
          <t>既不是 s_r 也不是 s_I，是日間日內混在一起的值</t>
        </is>
      </c>
    </row>
    <row r="23">
      <c r="A23" s="7" t="inlineStr">
        <is>
          <t>✗ 只用當天重複算 SE（低估）</t>
        </is>
      </c>
      <c r="B23" s="8">
        <f>B19/SQRT(3)</f>
        <v/>
      </c>
      <c r="C23" s="9" t="inlineStr">
        <is>
          <t>'=B19/SQRT(3)</t>
        </is>
      </c>
      <c r="D23" s="10" t="inlineStr">
        <is>
          <t>忽略了日間變異，會低估「單天平均值」真正的不確定度</t>
        </is>
      </c>
    </row>
    <row r="24">
      <c r="A24" s="11" t="inlineStr">
        <is>
          <t>✓ 正確：當天平均值的不確定度</t>
        </is>
      </c>
      <c r="B24" s="12">
        <f>SQRT(SUMSQ(B20,B23))</f>
        <v/>
      </c>
      <c r="C24" s="9" t="inlineStr">
        <is>
          <t>'=SQRT(SUMSQ(B20,B23))</t>
        </is>
      </c>
      <c r="D24" s="10" t="inlineStr">
        <is>
          <t>日間變異不會因為多測幾次而變小</t>
        </is>
      </c>
    </row>
    <row r="26">
      <c r="A26" s="10" t="inlineStr">
        <is>
          <t>s_I 一定 ≥ s_r（多了日間這個變異來源）；把 15 筆數據直接丟進 STDEV.S 得到的既不是 s_r 也不是 s_I，是兩者按自由度混合的值。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60" customWidth="1" min="4" max="4"/>
  </cols>
  <sheetData>
    <row r="1">
      <c r="A1" s="5" t="inlineStr">
        <is>
          <t>濃度 (mg/L)</t>
        </is>
      </c>
      <c r="B1" s="5" t="inlineStr">
        <is>
          <t>波峰面積</t>
        </is>
      </c>
    </row>
    <row r="2">
      <c r="A2" s="15" t="n">
        <v>1</v>
      </c>
      <c r="B2" s="15" t="n">
        <v>101</v>
      </c>
    </row>
    <row r="3">
      <c r="A3" s="15" t="n">
        <v>1</v>
      </c>
      <c r="B3" s="15" t="n">
        <v>99</v>
      </c>
    </row>
    <row r="4">
      <c r="A4" s="15" t="n">
        <v>1</v>
      </c>
      <c r="B4" s="15" t="n">
        <v>102</v>
      </c>
    </row>
    <row r="5">
      <c r="A5" s="15" t="n">
        <v>5</v>
      </c>
      <c r="B5" s="15" t="n">
        <v>498</v>
      </c>
    </row>
    <row r="6">
      <c r="A6" s="15" t="n">
        <v>5</v>
      </c>
      <c r="B6" s="15" t="n">
        <v>505</v>
      </c>
    </row>
    <row r="7">
      <c r="A7" s="15" t="n">
        <v>5</v>
      </c>
      <c r="B7" s="15" t="n">
        <v>492</v>
      </c>
    </row>
    <row r="8">
      <c r="A8" s="15" t="n">
        <v>10</v>
      </c>
      <c r="B8" s="15" t="n">
        <v>1005</v>
      </c>
    </row>
    <row r="9">
      <c r="A9" s="15" t="n">
        <v>10</v>
      </c>
      <c r="B9" s="15" t="n">
        <v>992</v>
      </c>
    </row>
    <row r="10">
      <c r="A10" s="15" t="n">
        <v>10</v>
      </c>
      <c r="B10" s="15" t="n">
        <v>1018</v>
      </c>
    </row>
    <row r="11">
      <c r="A11" s="15" t="n">
        <v>50</v>
      </c>
      <c r="B11" s="15" t="n">
        <v>4930</v>
      </c>
    </row>
    <row r="12">
      <c r="A12" s="15" t="n">
        <v>50</v>
      </c>
      <c r="B12" s="15" t="n">
        <v>5070</v>
      </c>
    </row>
    <row r="13">
      <c r="A13" s="15" t="n">
        <v>50</v>
      </c>
      <c r="B13" s="15" t="n">
        <v>5005</v>
      </c>
    </row>
    <row r="14">
      <c r="A14" s="15" t="n">
        <v>100</v>
      </c>
      <c r="B14" s="15" t="n">
        <v>9720</v>
      </c>
    </row>
    <row r="15">
      <c r="A15" s="15" t="n">
        <v>100</v>
      </c>
      <c r="B15" s="15" t="n">
        <v>10380</v>
      </c>
    </row>
    <row r="16">
      <c r="A16" s="15" t="n">
        <v>100</v>
      </c>
      <c r="B16" s="15" t="n">
        <v>10040</v>
      </c>
    </row>
    <row r="18">
      <c r="A18" s="5" t="inlineStr">
        <is>
          <t>項目</t>
        </is>
      </c>
      <c r="B18" s="5" t="inlineStr">
        <is>
          <t>結果</t>
        </is>
      </c>
      <c r="C18" s="5" t="inlineStr">
        <is>
          <t>公式</t>
        </is>
      </c>
      <c r="D18" s="5" t="inlineStr">
        <is>
          <t>白話說明</t>
        </is>
      </c>
    </row>
    <row r="19">
      <c r="A19" s="7" t="inlineStr">
        <is>
          <t>斜率 slope</t>
        </is>
      </c>
      <c r="B19" s="8">
        <f>SLOPE(B2:B16,A2:A16)</f>
        <v/>
      </c>
      <c r="C19" s="9" t="inlineStr">
        <is>
          <t>'=SLOPE(B2:B16,A2:A16)</t>
        </is>
      </c>
    </row>
    <row r="20">
      <c r="A20" s="7" t="inlineStr">
        <is>
          <t>截距 intercept</t>
        </is>
      </c>
      <c r="B20" s="8">
        <f>INTERCEPT(B2:B16,A2:A16)</f>
        <v/>
      </c>
      <c r="C20" s="9" t="inlineStr">
        <is>
          <t>'=INTERCEPT(B2:B16,A2:A16)</t>
        </is>
      </c>
    </row>
    <row r="21">
      <c r="A21" s="7" t="inlineStr">
        <is>
          <t>r²</t>
        </is>
      </c>
      <c r="B21" s="8">
        <f>RSQ(B2:B16,A2:A16)</f>
        <v/>
      </c>
      <c r="C21" s="9" t="inlineStr">
        <is>
          <t>'=RSQ(B2:B16,A2:A16)</t>
        </is>
      </c>
      <c r="D21" s="10" t="inlineStr">
        <is>
          <t>很高，看起來「很直」</t>
        </is>
      </c>
    </row>
    <row r="22">
      <c r="A22" s="11" t="inlineStr">
        <is>
          <t>殘差 SS（直線模型）</t>
        </is>
      </c>
      <c r="B22" s="12">
        <f>DEVSQ(B2:B16)*(1-RSQ(B2:B16,A2:A16))</f>
        <v/>
      </c>
      <c r="C22" s="9" t="inlineStr">
        <is>
          <t>'=DEVSQ(B2:B16)*(1-RSQ(B2:B16,A2:A16))</t>
        </is>
      </c>
      <c r="D22" s="10" t="inlineStr">
        <is>
          <t>即 SS_total,y × (1−r²)；也可用「資料分析→迴歸」輸出的殘差 SS 對照</t>
        </is>
      </c>
    </row>
    <row r="23">
      <c r="A23" s="11" t="inlineStr">
        <is>
          <t>純誤差 SS</t>
        </is>
      </c>
      <c r="B23" s="12">
        <f>DEVSQ(B2:B4)+DEVSQ(B5:B7)+DEVSQ(B8:B10)+DEVSQ(B11:B13)+DEVSQ(B14:B16)</f>
        <v/>
      </c>
      <c r="C23" s="9" t="inlineStr">
        <is>
          <t>'=DEVSQ(B2:B4)+DEVSQ(B5:B7)+DEVSQ(B8:B10)+DEVSQ(B11:B13)+DEVSQ(B14:B16)</t>
        </is>
      </c>
      <c r="D23" s="10" t="inlineStr">
        <is>
          <t>每個濃度各算一次 DEVSQ 再相加：重複點離「自己濃度平均」多遠</t>
        </is>
      </c>
    </row>
    <row r="24">
      <c r="A24" s="11" t="inlineStr">
        <is>
          <t>失擬 SS</t>
        </is>
      </c>
      <c r="B24" s="12">
        <f>B22-B23</f>
        <v/>
      </c>
      <c r="C24" s="9" t="inlineStr">
        <is>
          <t>'=B22-B23</t>
        </is>
      </c>
      <c r="D24" s="10" t="inlineStr">
        <is>
          <t>即 殘差SS − 純誤差SS：各濃度平均離「直線」多遠</t>
        </is>
      </c>
    </row>
    <row r="25">
      <c r="A25" s="7" t="inlineStr">
        <is>
          <t>df_純誤差</t>
        </is>
      </c>
      <c r="B25" s="13">
        <f>COUNT(B2:B16)-5</f>
        <v/>
      </c>
      <c r="C25" s="9" t="inlineStr">
        <is>
          <t>'=COUNT(B2:B16)-5</t>
        </is>
      </c>
      <c r="D25" s="10" t="inlineStr">
        <is>
          <t>N − 濃度數 = 15−5</t>
        </is>
      </c>
    </row>
    <row r="26">
      <c r="A26" s="7" t="inlineStr">
        <is>
          <t>df_失擬</t>
        </is>
      </c>
      <c r="B26" s="13">
        <f>5-2</f>
        <v/>
      </c>
      <c r="C26" s="9" t="inlineStr">
        <is>
          <t>'=5-2</t>
        </is>
      </c>
      <c r="D26" s="10" t="inlineStr">
        <is>
          <t>濃度數 − 直線參數數(斜率+截距)</t>
        </is>
      </c>
    </row>
    <row r="27">
      <c r="A27" s="11" t="inlineStr">
        <is>
          <t>F</t>
        </is>
      </c>
      <c r="B27" s="12">
        <f>(B24/B26)/(B23/B25)</f>
        <v/>
      </c>
      <c r="C27" s="9" t="inlineStr">
        <is>
          <t>'=(B24/B26)/(B23/B25)</t>
        </is>
      </c>
    </row>
    <row r="28">
      <c r="A28" s="11" t="inlineStr">
        <is>
          <t>p 值（失擬檢定）</t>
        </is>
      </c>
      <c r="B28" s="12">
        <f>_xlfn.F.DIST.RT(B27,B26,B25)</f>
        <v/>
      </c>
      <c r="C28" s="9" t="inlineStr">
        <is>
          <t>'=F.DIST.RT(B27,B26,B25)</t>
        </is>
      </c>
      <c r="D28" s="10" t="inlineStr">
        <is>
          <t>p 大才好：不顯著代表看不出直線不夠用（不等於「證明」是直線）</t>
        </is>
      </c>
    </row>
    <row r="30">
      <c r="A30" s="10" t="inlineStr">
        <is>
          <t>這組資料高濃度時散布明顯較大（詳見 Ch04 的加權迴歸範例）；本檢定看的是「彎不彎」，不是變異是否均齊。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7" t="inlineStr">
        <is>
          <t>雙因子：SS_total</t>
        </is>
      </c>
      <c r="B2" s="16">
        <f>'雙因子ANOVA'!B26</f>
        <v/>
      </c>
      <c r="C2" s="16" t="n">
        <v>2585.925</v>
      </c>
      <c r="D2" s="17">
        <f>IF(ABS(B2-C2)&lt;=1.2929625,"✓","✗")</f>
        <v/>
      </c>
      <c r="E2" s="18" t="inlineStr">
        <is>
          <t>'雙因子ANOVA'!B26</t>
        </is>
      </c>
    </row>
    <row r="3">
      <c r="A3" s="7" t="inlineStr">
        <is>
          <t>雙因子：SS_A（溫度）</t>
        </is>
      </c>
      <c r="B3" s="16">
        <f>'雙因子ANOVA'!B28</f>
        <v/>
      </c>
      <c r="C3" s="16" t="n">
        <v>1883.25</v>
      </c>
      <c r="D3" s="17">
        <f>IF(ABS(B3-C3)&lt;=0.941625,"✓","✗")</f>
        <v/>
      </c>
      <c r="E3" s="18" t="inlineStr">
        <is>
          <t>'雙因子ANOVA'!B28</t>
        </is>
      </c>
    </row>
    <row r="4">
      <c r="A4" s="7" t="inlineStr">
        <is>
          <t>雙因子：SS_B（時間）</t>
        </is>
      </c>
      <c r="B4" s="16">
        <f>'雙因子ANOVA'!B29</f>
        <v/>
      </c>
      <c r="C4" s="16" t="n">
        <v>441.045</v>
      </c>
      <c r="D4" s="17">
        <f>IF(ABS(B4-C4)&lt;=0.2205225,"✓","✗")</f>
        <v/>
      </c>
      <c r="E4" s="18" t="inlineStr">
        <is>
          <t>'雙因子ANOVA'!B29</t>
        </is>
      </c>
    </row>
    <row r="5">
      <c r="A5" s="7" t="inlineStr">
        <is>
          <t>雙因子：SS_AB（交互作用）</t>
        </is>
      </c>
      <c r="B5" s="16">
        <f>'雙因子ANOVA'!B30</f>
        <v/>
      </c>
      <c r="C5" s="16" t="n">
        <v>250.8033333</v>
      </c>
      <c r="D5" s="17">
        <f>IF(ABS(B5-C5)&lt;=0.12540166665,"✓","✗")</f>
        <v/>
      </c>
      <c r="E5" s="18" t="inlineStr">
        <is>
          <t>'雙因子ANOVA'!B30</t>
        </is>
      </c>
    </row>
    <row r="6">
      <c r="A6" s="7" t="inlineStr">
        <is>
          <t>雙因子：F_A</t>
        </is>
      </c>
      <c r="B6" s="16">
        <f>'雙因子ANOVA'!B40</f>
        <v/>
      </c>
      <c r="C6" s="16" t="n">
        <v>1043.67303</v>
      </c>
      <c r="D6" s="17">
        <f>IF(ABS(B6-C6)&lt;=0.521836515,"✓","✗")</f>
        <v/>
      </c>
      <c r="E6" s="18" t="inlineStr">
        <is>
          <t>'雙因子ANOVA'!B40</t>
        </is>
      </c>
    </row>
    <row r="7">
      <c r="A7" s="7" t="inlineStr">
        <is>
          <t>雙因子：F_AB</t>
        </is>
      </c>
      <c r="B7" s="16">
        <f>'雙因子ANOVA'!B42</f>
        <v/>
      </c>
      <c r="C7" s="16" t="n">
        <v>138.9919951</v>
      </c>
      <c r="D7" s="17">
        <f>IF(ABS(B7-C7)&lt;=0.06949599755,"✓","✗")</f>
        <v/>
      </c>
      <c r="E7" s="18" t="inlineStr">
        <is>
          <t>'雙因子ANOVA'!B42</t>
        </is>
      </c>
    </row>
    <row r="8">
      <c r="A8" s="7" t="inlineStr">
        <is>
          <t>雙因子：p_AB</t>
        </is>
      </c>
      <c r="B8" s="16">
        <f>'雙因子ANOVA'!B45</f>
        <v/>
      </c>
      <c r="C8" s="16" t="n">
        <v>5.021614247e-09</v>
      </c>
      <c r="D8" s="17">
        <f>IF(ABS(B8-C8)&lt;=1e-12,"✓","✗")</f>
        <v/>
      </c>
      <c r="E8" s="18" t="inlineStr">
        <is>
          <t>'雙因子ANOVA'!B45</t>
        </is>
      </c>
    </row>
    <row r="9">
      <c r="A9" s="7" t="inlineStr">
        <is>
          <t>精密度：s_r</t>
        </is>
      </c>
      <c r="B9" s="16">
        <f>'ISO5725精密度分解'!B19</f>
        <v/>
      </c>
      <c r="C9" s="16" t="n">
        <v>0.09320228896</v>
      </c>
      <c r="D9" s="17">
        <f>IF(ABS(B9-C9)&lt;=4.660114448e-05,"✓","✗")</f>
        <v/>
      </c>
      <c r="E9" s="18" t="inlineStr">
        <is>
          <t>'ISO5725精密度分解'!B19</t>
        </is>
      </c>
    </row>
    <row r="10">
      <c r="A10" s="7" t="inlineStr">
        <is>
          <t>精密度：s_between</t>
        </is>
      </c>
      <c r="B10" s="16">
        <f>'ISO5725精密度分解'!B20</f>
        <v/>
      </c>
      <c r="C10" s="16" t="n">
        <v>0.09153627088999999</v>
      </c>
      <c r="D10" s="17">
        <f>IF(ABS(B10-C10)&lt;=4.5768135444999996e-05,"✓","✗")</f>
        <v/>
      </c>
      <c r="E10" s="18" t="inlineStr">
        <is>
          <t>'ISO5725精密度分解'!B20</t>
        </is>
      </c>
    </row>
    <row r="11">
      <c r="A11" s="7" t="inlineStr">
        <is>
          <t>精密度：s_I</t>
        </is>
      </c>
      <c r="B11" s="16">
        <f>'ISO5725精密度分解'!B21</f>
        <v/>
      </c>
      <c r="C11" s="16" t="n">
        <v>0.1306352003</v>
      </c>
      <c r="D11" s="17">
        <f>IF(ABS(B11-C11)&lt;=6.531760015000001e-05,"✓","✗")</f>
        <v/>
      </c>
      <c r="E11" s="18" t="inlineStr">
        <is>
          <t>'ISO5725精密度分解'!B21</t>
        </is>
      </c>
    </row>
    <row r="12">
      <c r="A12" s="7" t="inlineStr">
        <is>
          <t>精密度：全部丟進STDEV.S</t>
        </is>
      </c>
      <c r="B12" s="16">
        <f>'ISO5725精密度分解'!B22</f>
        <v/>
      </c>
      <c r="C12" s="16" t="n">
        <v>0.1259705181</v>
      </c>
      <c r="D12" s="17">
        <f>IF(ABS(B12-C12)&lt;=6.298525905e-05,"✓","✗")</f>
        <v/>
      </c>
      <c r="E12" s="18" t="inlineStr">
        <is>
          <t>'ISO5725精密度分解'!B22</t>
        </is>
      </c>
    </row>
    <row r="13">
      <c r="A13" s="7" t="inlineStr">
        <is>
          <t>精密度：正確的當天平均不確定度</t>
        </is>
      </c>
      <c r="B13" s="16">
        <f>'ISO5725精密度分解'!B24</f>
        <v/>
      </c>
      <c r="C13" s="16" t="n">
        <v>0.1061811869</v>
      </c>
      <c r="D13" s="17">
        <f>IF(ABS(B13-C13)&lt;=5.309059345e-05,"✓","✗")</f>
        <v/>
      </c>
      <c r="E13" s="18" t="inlineStr">
        <is>
          <t>'ISO5725精密度分解'!B24</t>
        </is>
      </c>
    </row>
    <row r="14">
      <c r="A14" s="7" t="inlineStr">
        <is>
          <t>失擬：殘差SS</t>
        </is>
      </c>
      <c r="B14" s="16">
        <f>'失擬檢定'!B22</f>
        <v/>
      </c>
      <c r="C14" s="16" t="n">
        <v>229158.7484</v>
      </c>
      <c r="D14" s="17">
        <f>IF(ABS(B14-C14)&lt;=0.5,"✓","✗")</f>
        <v/>
      </c>
      <c r="E14" s="18" t="inlineStr">
        <is>
          <t>'失擬檢定'!B22</t>
        </is>
      </c>
    </row>
    <row r="15">
      <c r="A15" s="7" t="inlineStr">
        <is>
          <t>失擬：純誤差SS</t>
        </is>
      </c>
      <c r="B15" s="16">
        <f>'失擬檢定'!B23</f>
        <v/>
      </c>
      <c r="C15" s="16" t="n">
        <v>228110.6667</v>
      </c>
      <c r="D15" s="17">
        <f>IF(ABS(B15-C15)&lt;=0.5,"✓","✗")</f>
        <v/>
      </c>
      <c r="E15" s="18" t="inlineStr">
        <is>
          <t>'失擬檢定'!B23</t>
        </is>
      </c>
    </row>
    <row r="16">
      <c r="A16" s="7" t="inlineStr">
        <is>
          <t>失擬：失擬SS</t>
        </is>
      </c>
      <c r="B16" s="16">
        <f>'失擬檢定'!B24</f>
        <v/>
      </c>
      <c r="C16" s="16" t="n">
        <v>1048.081698</v>
      </c>
      <c r="D16" s="17">
        <f>IF(ABS(B16-C16)&lt;=0.2,"✓","✗")</f>
        <v/>
      </c>
      <c r="E16" s="18" t="inlineStr">
        <is>
          <t>'失擬檢定'!B24</t>
        </is>
      </c>
    </row>
    <row r="17">
      <c r="A17" s="7" t="inlineStr">
        <is>
          <t>失擬：F</t>
        </is>
      </c>
      <c r="B17" s="16">
        <f>'失擬檢定'!B27</f>
        <v/>
      </c>
      <c r="C17" s="16" t="n">
        <v>0.01531539806</v>
      </c>
      <c r="D17" s="17">
        <f>IF(ABS(B17-C17)&lt;=7.657699030000001e-06,"✓","✗")</f>
        <v/>
      </c>
      <c r="E17" s="18" t="inlineStr">
        <is>
          <t>'失擬檢定'!B27</t>
        </is>
      </c>
    </row>
    <row r="18">
      <c r="A18" s="7" t="inlineStr">
        <is>
          <t>失擬：p</t>
        </is>
      </c>
      <c r="B18" s="16">
        <f>'失擬檢定'!B28</f>
        <v/>
      </c>
      <c r="C18" s="16" t="n">
        <v>0.9972394847</v>
      </c>
      <c r="D18" s="17">
        <f>IF(ABS(B18-C18)&lt;=0.00049861974235,"✓","✗")</f>
        <v/>
      </c>
      <c r="E18" s="18" t="inlineStr">
        <is>
          <t>'失擬檢定'!B28</t>
        </is>
      </c>
    </row>
    <row r="20">
      <c r="A20" s="10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2026-09-17T18:08:37Z</dcterms:created>
  <dcterms:modified xmlns:dcterms="http://purl.org/dc/terms/" xmlns:xsi="http://www.w3.org/2001/XMLSchema-instance" xsi:type="dcterms:W3CDTF">2026-09-17T18:08:37Z</dcterms:modified>
</cp:coreProperties>
</file>